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GIT/opg2/files/"/>
    </mc:Choice>
  </mc:AlternateContent>
  <xr:revisionPtr revIDLastSave="0" documentId="13_ncr:1_{6ED15221-E844-664B-92B4-6F13C26B86B9}" xr6:coauthVersionLast="47" xr6:coauthVersionMax="47" xr10:uidLastSave="{00000000-0000-0000-0000-000000000000}"/>
  <bookViews>
    <workbookView xWindow="-23760" yWindow="-21100" windowWidth="38400" windowHeight="21100" xr2:uid="{88696E72-DBDE-1D42-A533-231FC67067AF}"/>
  </bookViews>
  <sheets>
    <sheet name="Skat før" sheetId="2" r:id="rId1"/>
    <sheet name="Tom bo (60%)" sheetId="5" r:id="rId2"/>
    <sheet name="Tom bo mangler (80%)" sheetId="6" r:id="rId3"/>
    <sheet name="Skat bo (80%)" sheetId="10" r:id="rId4"/>
    <sheet name="Tom salg (70%)" sheetId="7" r:id="rId5"/>
    <sheet name="Tom salg mangler (80%)" sheetId="8" r:id="rId6"/>
    <sheet name="Skat salg (80%)" sheetId="11" r:id="rId7"/>
    <sheet name="Skattesatser" sheetId="3" r:id="rId8"/>
  </sheets>
  <definedNames>
    <definedName name="ArbBidrag">Skattesatser!$H$3</definedName>
    <definedName name="BeFradragHojSats">Skattesatser!$H$4</definedName>
    <definedName name="BeFradragKmMax">Skattesatser!$H$6</definedName>
    <definedName name="BeFradragKmMin">Skattesatser!$H$5</definedName>
    <definedName name="BeFradragLavSats">Skattesatser!$H$7</definedName>
    <definedName name="BFradragMax">Skattesatser!$H$10</definedName>
    <definedName name="BFradragProc">Skattesatser!$H$9</definedName>
    <definedName name="Bundskat">Skattesatser!$H$11</definedName>
    <definedName name="EjVSkatGranse">Skattesatser!$H$14</definedName>
    <definedName name="EjVSkatMax">Skattesatser!$H$13</definedName>
    <definedName name="EjVSkatMin">Skattesatser!$H$12</definedName>
    <definedName name="EPENfradragMax">Skattesatser!$H$16</definedName>
    <definedName name="EPENfradragProc">Skattesatser!$H$15</definedName>
    <definedName name="EPENSeniorMax">Skattesatser!$H$18</definedName>
    <definedName name="EPENSeniorProc">Skattesatser!$H$17</definedName>
    <definedName name="FagforeningMax">Skattesatser!$H$19</definedName>
    <definedName name="FirmabilGranse">Skattesatser!$H$20</definedName>
    <definedName name="FirmabilHoj">Skattesatser!$H$22</definedName>
    <definedName name="FirmabilLav">Skattesatser!$H$21</definedName>
    <definedName name="Forsigtighed">Skattesatser!$H$23</definedName>
    <definedName name="FriTelefon">Skattesatser!$H$24</definedName>
    <definedName name="Gift">#REF!</definedName>
    <definedName name="GranseForhBFdrag">Skattesatser!$H$8</definedName>
    <definedName name="GranseNegKIEnlig">Skattesatser!$H$42</definedName>
    <definedName name="GranseNegKIPar">Skattesatser!$H$41</definedName>
    <definedName name="Grøn_check_antal_børn_max" localSheetId="3">Skattesatser!#REF!</definedName>
    <definedName name="Grøn_check_antal_børn_max" localSheetId="0">Skattesatser!#REF!</definedName>
    <definedName name="Grøn_check_antal_børn_max" localSheetId="6">Skattesatser!#REF!</definedName>
    <definedName name="Grøn_check_antal_børn_max">Skattesatser!#REF!</definedName>
    <definedName name="GronCheck">Skattesatser!$H$25</definedName>
    <definedName name="GronSkatBorn" localSheetId="3">Skattesatser!#REF!</definedName>
    <definedName name="GronSkatBorn" localSheetId="0">Skattesatser!#REF!</definedName>
    <definedName name="GronSkatBorn" localSheetId="6">Skattesatser!#REF!</definedName>
    <definedName name="GronSkatBorn">Skattesatser!#REF!</definedName>
    <definedName name="GronSkatBornexGranse" localSheetId="3">Skattesatser!#REF!</definedName>
    <definedName name="GronSkatBornexGranse" localSheetId="0">Skattesatser!#REF!</definedName>
    <definedName name="GronSkatBornexGranse" localSheetId="6">Skattesatser!#REF!</definedName>
    <definedName name="GronSkatBornexGranse">Skattesatser!#REF!</definedName>
    <definedName name="GronSkatexBorn" localSheetId="3">Skattesatser!#REF!</definedName>
    <definedName name="GronSkatexBorn" localSheetId="0">Skattesatser!#REF!</definedName>
    <definedName name="GronSkatexBorn" localSheetId="6">Skattesatser!#REF!</definedName>
    <definedName name="GronSkatexBorn">Skattesatser!#REF!</definedName>
    <definedName name="GronSkatMax">Skattesatser!$H$27</definedName>
    <definedName name="GronSkatMin">Skattesatser!$H$26</definedName>
    <definedName name="GronSkatMod">Skattesatser!$H$28</definedName>
    <definedName name="Intro" localSheetId="3">#REF!</definedName>
    <definedName name="Intro" localSheetId="0">#REF!</definedName>
    <definedName name="Intro" localSheetId="6">#REF!</definedName>
    <definedName name="Intro">#REF!</definedName>
    <definedName name="Jfradraggranse">Skattesatser!$H$30</definedName>
    <definedName name="JfradragMax">Skattesatser!$H$31</definedName>
    <definedName name="Jfradragproc">Skattesatser!$H$29</definedName>
    <definedName name="KItilTopskatEnlig">Skattesatser!$H$33</definedName>
    <definedName name="KItilTopskatPar">Skattesatser!$H$32</definedName>
    <definedName name="Look1Area" localSheetId="3" hidden="1">#REF!</definedName>
    <definedName name="Look1Area" localSheetId="0" hidden="1">#REF!</definedName>
    <definedName name="Look1Area" localSheetId="6" hidden="1">#REF!</definedName>
    <definedName name="Look1Area" hidden="1">#REF!</definedName>
    <definedName name="Look2Area" localSheetId="3" hidden="1">#REF!</definedName>
    <definedName name="Look2Area" localSheetId="0" hidden="1">#REF!</definedName>
    <definedName name="Look2Area" localSheetId="6" hidden="1">#REF!</definedName>
    <definedName name="Look2Area" hidden="1">#REF!</definedName>
    <definedName name="Look3Area" localSheetId="3" hidden="1">#REF!</definedName>
    <definedName name="Look3Area" localSheetId="0" hidden="1">#REF!</definedName>
    <definedName name="Look3Area" localSheetId="6" hidden="1">#REF!</definedName>
    <definedName name="Look3Area" hidden="1">#REF!</definedName>
    <definedName name="Look4Area" localSheetId="3" hidden="1">#REF!</definedName>
    <definedName name="Look4Area" localSheetId="0" hidden="1">#REF!</definedName>
    <definedName name="Look4Area" localSheetId="6" hidden="1">#REF!</definedName>
    <definedName name="Look4Area" hidden="1">#REF!</definedName>
    <definedName name="Look5Area" localSheetId="3" hidden="1">#REF!</definedName>
    <definedName name="Look5Area" localSheetId="0" hidden="1">#REF!</definedName>
    <definedName name="Look5Area" localSheetId="6" hidden="1">#REF!</definedName>
    <definedName name="Look5Area" hidden="1">#REF!</definedName>
    <definedName name="Personfradrag">Skattesatser!$H$34</definedName>
    <definedName name="RatepensionMax">Skattesatser!$H$36</definedName>
    <definedName name="Skatteordning" localSheetId="2">#REF!</definedName>
    <definedName name="Skatteordning" localSheetId="4">#REF!</definedName>
    <definedName name="Skatteordning" localSheetId="5">#REF!</definedName>
    <definedName name="Skatteordning">#REF!</definedName>
    <definedName name="SkraatSkatteloftKI">Skattesatser!$H$38</definedName>
    <definedName name="SkraatSkatteloftPI">Skattesatser!$H$37</definedName>
    <definedName name="Sundhedsbidrag">Skattesatser!$H$39</definedName>
    <definedName name="TillagNegKI">Skattesatser!$H$40</definedName>
    <definedName name="Topskat">Skattesatser!$H$43</definedName>
    <definedName name="TopSkatGranse">Skattesatser!$H$35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4" i="5" l="1"/>
  <c r="R24" i="5"/>
  <c r="D2" i="6" l="1"/>
  <c r="K7" i="5" l="1"/>
  <c r="C5" i="2"/>
  <c r="C4" i="11"/>
  <c r="C20" i="11"/>
  <c r="C20" i="10"/>
  <c r="C20" i="2"/>
  <c r="R24" i="8"/>
  <c r="K7" i="8"/>
  <c r="R24" i="6"/>
  <c r="K7" i="6"/>
  <c r="R20" i="8"/>
  <c r="R20" i="6"/>
  <c r="R20" i="7"/>
  <c r="R20" i="5"/>
  <c r="K7" i="7"/>
  <c r="R24" i="7"/>
  <c r="K8" i="5"/>
  <c r="K9" i="5" s="1"/>
  <c r="R25" i="5" s="1"/>
  <c r="Q18" i="8"/>
  <c r="R15" i="8"/>
  <c r="R14" i="8"/>
  <c r="R13" i="8"/>
  <c r="Q18" i="7"/>
  <c r="R15" i="7"/>
  <c r="R14" i="7"/>
  <c r="R13" i="7"/>
  <c r="Q18" i="6"/>
  <c r="R15" i="6"/>
  <c r="R14" i="6"/>
  <c r="R13" i="6"/>
  <c r="Q18" i="5"/>
  <c r="R15" i="5"/>
  <c r="R14" i="5"/>
  <c r="R13" i="5"/>
  <c r="R22" i="5" s="1"/>
  <c r="E64" i="11"/>
  <c r="E63" i="11"/>
  <c r="C63" i="11"/>
  <c r="D63" i="11" s="1"/>
  <c r="D55" i="11"/>
  <c r="C55" i="11"/>
  <c r="F54" i="11"/>
  <c r="E54" i="11"/>
  <c r="G54" i="11" s="1"/>
  <c r="D54" i="11"/>
  <c r="C54" i="11"/>
  <c r="C40" i="11"/>
  <c r="C35" i="11"/>
  <c r="C30" i="11"/>
  <c r="C29" i="11"/>
  <c r="I28" i="11"/>
  <c r="I26" i="11"/>
  <c r="C24" i="11"/>
  <c r="C22" i="11"/>
  <c r="J21" i="11"/>
  <c r="C15" i="11"/>
  <c r="C64" i="11" s="1"/>
  <c r="C14" i="11"/>
  <c r="C13" i="11"/>
  <c r="H9" i="11"/>
  <c r="G9" i="11"/>
  <c r="H8" i="11"/>
  <c r="G8" i="11"/>
  <c r="H7" i="11"/>
  <c r="G7" i="11"/>
  <c r="H6" i="11"/>
  <c r="G6" i="11"/>
  <c r="H5" i="11"/>
  <c r="G5" i="11"/>
  <c r="I2" i="11"/>
  <c r="E64" i="10"/>
  <c r="E63" i="10"/>
  <c r="C63" i="10"/>
  <c r="D63" i="10" s="1"/>
  <c r="D55" i="10"/>
  <c r="C55" i="10"/>
  <c r="F54" i="10"/>
  <c r="E54" i="10"/>
  <c r="E55" i="10" s="1"/>
  <c r="G55" i="10" s="1"/>
  <c r="H55" i="10" s="1"/>
  <c r="D54" i="10"/>
  <c r="C54" i="10"/>
  <c r="C40" i="10"/>
  <c r="C35" i="10"/>
  <c r="C71" i="10" s="1"/>
  <c r="C72" i="10" s="1"/>
  <c r="C29" i="10"/>
  <c r="I28" i="10"/>
  <c r="I26" i="10"/>
  <c r="C24" i="10"/>
  <c r="C22" i="10"/>
  <c r="J21" i="10"/>
  <c r="C15" i="10"/>
  <c r="C64" i="10" s="1"/>
  <c r="C14" i="10"/>
  <c r="G9" i="10" s="1"/>
  <c r="C13" i="10"/>
  <c r="G8" i="10" s="1"/>
  <c r="J12" i="10"/>
  <c r="H9" i="10"/>
  <c r="H8" i="10"/>
  <c r="H7" i="10"/>
  <c r="G7" i="10"/>
  <c r="H6" i="10"/>
  <c r="G6" i="10"/>
  <c r="H5" i="10"/>
  <c r="G5" i="10"/>
  <c r="I2" i="10"/>
  <c r="S23" i="8"/>
  <c r="R21" i="8"/>
  <c r="R22" i="8"/>
  <c r="H11" i="8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H54" i="8" s="1"/>
  <c r="H55" i="8" s="1"/>
  <c r="H56" i="8" s="1"/>
  <c r="H57" i="8" s="1"/>
  <c r="H58" i="8" s="1"/>
  <c r="H59" i="8" s="1"/>
  <c r="C11" i="8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B11" i="8"/>
  <c r="G10" i="8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C10" i="8"/>
  <c r="K8" i="8"/>
  <c r="K9" i="8" s="1"/>
  <c r="R25" i="8" s="1"/>
  <c r="F7" i="8"/>
  <c r="F8" i="8" s="1"/>
  <c r="E6" i="8"/>
  <c r="D2" i="8"/>
  <c r="S23" i="7"/>
  <c r="R22" i="7"/>
  <c r="R21" i="7"/>
  <c r="H11" i="7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C11" i="7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B11" i="7"/>
  <c r="B12" i="7" s="1"/>
  <c r="G10" i="7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C10" i="7"/>
  <c r="K8" i="7"/>
  <c r="K9" i="7" s="1"/>
  <c r="R25" i="7" s="1"/>
  <c r="F7" i="7"/>
  <c r="F8" i="7" s="1"/>
  <c r="E6" i="7"/>
  <c r="D2" i="7"/>
  <c r="E2" i="7" s="1"/>
  <c r="S23" i="6"/>
  <c r="R21" i="6"/>
  <c r="R22" i="6"/>
  <c r="H11" i="6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C11" i="6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B11" i="6"/>
  <c r="B12" i="6" s="1"/>
  <c r="G10" i="6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C10" i="6"/>
  <c r="D10" i="6" s="1"/>
  <c r="K8" i="6"/>
  <c r="K9" i="6" s="1"/>
  <c r="R25" i="6" s="1"/>
  <c r="F7" i="6"/>
  <c r="F8" i="6" s="1"/>
  <c r="E6" i="6"/>
  <c r="C4" i="10"/>
  <c r="C30" i="10" s="1"/>
  <c r="R21" i="5"/>
  <c r="H11" i="5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B11" i="5"/>
  <c r="B12" i="5" s="1"/>
  <c r="B13" i="5" s="1"/>
  <c r="B14" i="5" s="1"/>
  <c r="G10" i="5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C10" i="5"/>
  <c r="D10" i="5" s="1"/>
  <c r="E10" i="5" s="1"/>
  <c r="F7" i="5"/>
  <c r="F8" i="5" s="1"/>
  <c r="E6" i="5"/>
  <c r="D2" i="5"/>
  <c r="E2" i="5" s="1"/>
  <c r="E64" i="2"/>
  <c r="E63" i="2"/>
  <c r="C63" i="2"/>
  <c r="D63" i="2" s="1"/>
  <c r="D55" i="2"/>
  <c r="C55" i="2"/>
  <c r="F54" i="2"/>
  <c r="E54" i="2"/>
  <c r="E55" i="2" s="1"/>
  <c r="G55" i="2" s="1"/>
  <c r="D54" i="2"/>
  <c r="C54" i="2"/>
  <c r="C40" i="2"/>
  <c r="C35" i="2"/>
  <c r="C71" i="2" s="1"/>
  <c r="C72" i="2" s="1"/>
  <c r="C30" i="2"/>
  <c r="C29" i="2"/>
  <c r="I28" i="2"/>
  <c r="J28" i="2" s="1"/>
  <c r="I26" i="2"/>
  <c r="C24" i="2"/>
  <c r="C22" i="2"/>
  <c r="C39" i="2" s="1"/>
  <c r="J21" i="2"/>
  <c r="C15" i="2"/>
  <c r="C64" i="2" s="1"/>
  <c r="C14" i="2"/>
  <c r="G9" i="2" s="1"/>
  <c r="C13" i="2"/>
  <c r="G8" i="2" s="1"/>
  <c r="J12" i="2"/>
  <c r="H9" i="2"/>
  <c r="H8" i="2"/>
  <c r="H7" i="2"/>
  <c r="G7" i="2"/>
  <c r="H6" i="2"/>
  <c r="G6" i="2"/>
  <c r="H5" i="2"/>
  <c r="G5" i="2"/>
  <c r="I2" i="2"/>
  <c r="R28" i="5" l="1"/>
  <c r="R29" i="5" s="1"/>
  <c r="E2" i="6"/>
  <c r="R31" i="6" s="1"/>
  <c r="R32" i="6" s="1"/>
  <c r="I38" i="10"/>
  <c r="E2" i="8"/>
  <c r="I38" i="11"/>
  <c r="C73" i="11"/>
  <c r="F63" i="11"/>
  <c r="J19" i="11" s="1"/>
  <c r="C39" i="11"/>
  <c r="D10" i="8"/>
  <c r="E10" i="8" s="1"/>
  <c r="C39" i="10"/>
  <c r="I29" i="11"/>
  <c r="J29" i="11" s="1"/>
  <c r="I29" i="10"/>
  <c r="J29" i="10" s="1"/>
  <c r="I29" i="2"/>
  <c r="J29" i="2" s="1"/>
  <c r="C73" i="10"/>
  <c r="I14" i="10" s="1"/>
  <c r="I14" i="11"/>
  <c r="I13" i="11"/>
  <c r="F64" i="11"/>
  <c r="J20" i="11" s="1"/>
  <c r="H54" i="11"/>
  <c r="E55" i="11"/>
  <c r="G55" i="11" s="1"/>
  <c r="H55" i="11" s="1"/>
  <c r="G54" i="10"/>
  <c r="H54" i="10"/>
  <c r="F63" i="10"/>
  <c r="J19" i="10" s="1"/>
  <c r="J12" i="11"/>
  <c r="C25" i="11"/>
  <c r="J28" i="11"/>
  <c r="C71" i="11"/>
  <c r="C72" i="11" s="1"/>
  <c r="H56" i="10"/>
  <c r="C41" i="10" s="1"/>
  <c r="F64" i="10"/>
  <c r="J20" i="10" s="1"/>
  <c r="G54" i="2"/>
  <c r="H54" i="2" s="1"/>
  <c r="C25" i="10"/>
  <c r="J28" i="10"/>
  <c r="D11" i="5"/>
  <c r="E11" i="5" s="1"/>
  <c r="F10" i="5"/>
  <c r="B15" i="5"/>
  <c r="R26" i="5"/>
  <c r="B13" i="6"/>
  <c r="C73" i="2"/>
  <c r="I14" i="2" s="1"/>
  <c r="F63" i="2"/>
  <c r="J19" i="2" s="1"/>
  <c r="E10" i="6"/>
  <c r="R26" i="6"/>
  <c r="R28" i="6"/>
  <c r="R29" i="6" s="1"/>
  <c r="D10" i="7"/>
  <c r="E10" i="7" s="1"/>
  <c r="R26" i="7"/>
  <c r="B13" i="7"/>
  <c r="R28" i="7"/>
  <c r="R29" i="7" s="1"/>
  <c r="B12" i="8"/>
  <c r="R28" i="8"/>
  <c r="R29" i="8" s="1"/>
  <c r="R26" i="8"/>
  <c r="H55" i="2"/>
  <c r="F64" i="2"/>
  <c r="J20" i="2" s="1"/>
  <c r="C25" i="2"/>
  <c r="K2" i="6" l="1"/>
  <c r="K2" i="8"/>
  <c r="R31" i="8"/>
  <c r="R32" i="8" s="1"/>
  <c r="D11" i="8"/>
  <c r="E11" i="8" s="1"/>
  <c r="F11" i="8" s="1"/>
  <c r="F10" i="8"/>
  <c r="I13" i="10"/>
  <c r="H56" i="11"/>
  <c r="C41" i="11" s="1"/>
  <c r="C38" i="11"/>
  <c r="C37" i="11"/>
  <c r="C27" i="11"/>
  <c r="C31" i="11" s="1"/>
  <c r="I13" i="2"/>
  <c r="H56" i="2"/>
  <c r="C41" i="2" s="1"/>
  <c r="C38" i="10"/>
  <c r="C37" i="10"/>
  <c r="C27" i="10"/>
  <c r="C31" i="10" s="1"/>
  <c r="D11" i="7"/>
  <c r="E11" i="7" s="1"/>
  <c r="F10" i="7"/>
  <c r="D12" i="5"/>
  <c r="E12" i="5" s="1"/>
  <c r="F11" i="5"/>
  <c r="B14" i="7"/>
  <c r="D11" i="6"/>
  <c r="E11" i="6" s="1"/>
  <c r="F10" i="6"/>
  <c r="B14" i="6"/>
  <c r="B16" i="5"/>
  <c r="B13" i="8"/>
  <c r="C38" i="2"/>
  <c r="C37" i="2"/>
  <c r="C27" i="2"/>
  <c r="C31" i="2" s="1"/>
  <c r="D12" i="8" l="1"/>
  <c r="E12" i="8" s="1"/>
  <c r="D13" i="8" s="1"/>
  <c r="E13" i="8" s="1"/>
  <c r="C68" i="11"/>
  <c r="C69" i="11"/>
  <c r="I5" i="11"/>
  <c r="J5" i="11" s="1"/>
  <c r="C43" i="2"/>
  <c r="C45" i="2" s="1"/>
  <c r="C43" i="11"/>
  <c r="C45" i="11" s="1"/>
  <c r="C68" i="10"/>
  <c r="I5" i="10"/>
  <c r="J5" i="10" s="1"/>
  <c r="C69" i="10"/>
  <c r="C43" i="10"/>
  <c r="C45" i="10" s="1"/>
  <c r="F12" i="8"/>
  <c r="B14" i="8"/>
  <c r="B15" i="6"/>
  <c r="D12" i="6"/>
  <c r="E12" i="6" s="1"/>
  <c r="F11" i="6"/>
  <c r="B17" i="5"/>
  <c r="B15" i="7"/>
  <c r="D13" i="5"/>
  <c r="E13" i="5" s="1"/>
  <c r="F12" i="5"/>
  <c r="D12" i="7"/>
  <c r="E12" i="7" s="1"/>
  <c r="F11" i="7"/>
  <c r="C68" i="2"/>
  <c r="I5" i="2"/>
  <c r="J5" i="2" s="1"/>
  <c r="C69" i="2"/>
  <c r="I9" i="11" l="1"/>
  <c r="J9" i="11" s="1"/>
  <c r="I8" i="11"/>
  <c r="J8" i="11" s="1"/>
  <c r="I7" i="11"/>
  <c r="J7" i="11" s="1"/>
  <c r="C75" i="11"/>
  <c r="J13" i="11" s="1"/>
  <c r="C70" i="11"/>
  <c r="I9" i="10"/>
  <c r="J9" i="10" s="1"/>
  <c r="I8" i="10"/>
  <c r="J8" i="10" s="1"/>
  <c r="I7" i="10"/>
  <c r="J7" i="10" s="1"/>
  <c r="C75" i="10"/>
  <c r="J13" i="10" s="1"/>
  <c r="C70" i="10"/>
  <c r="D13" i="7"/>
  <c r="E13" i="7" s="1"/>
  <c r="F12" i="7"/>
  <c r="D14" i="5"/>
  <c r="E14" i="5" s="1"/>
  <c r="F13" i="5"/>
  <c r="D13" i="6"/>
  <c r="E13" i="6" s="1"/>
  <c r="F12" i="6"/>
  <c r="B15" i="8"/>
  <c r="B16" i="6"/>
  <c r="D14" i="8"/>
  <c r="E14" i="8" s="1"/>
  <c r="B16" i="7"/>
  <c r="B18" i="5"/>
  <c r="F13" i="8"/>
  <c r="I9" i="2"/>
  <c r="J9" i="2" s="1"/>
  <c r="I8" i="2"/>
  <c r="J8" i="2" s="1"/>
  <c r="I7" i="2"/>
  <c r="J7" i="2" s="1"/>
  <c r="C75" i="2"/>
  <c r="J13" i="2" s="1"/>
  <c r="C70" i="2"/>
  <c r="I6" i="11" l="1"/>
  <c r="J6" i="11" s="1"/>
  <c r="J10" i="11" s="1"/>
  <c r="C74" i="11"/>
  <c r="C76" i="11" s="1"/>
  <c r="J14" i="11" s="1"/>
  <c r="I6" i="10"/>
  <c r="J6" i="10" s="1"/>
  <c r="J10" i="10" s="1"/>
  <c r="C74" i="10"/>
  <c r="C76" i="10" s="1"/>
  <c r="J14" i="10" s="1"/>
  <c r="D15" i="8"/>
  <c r="E15" i="8" s="1"/>
  <c r="F14" i="8"/>
  <c r="D14" i="6"/>
  <c r="E14" i="6" s="1"/>
  <c r="F13" i="6"/>
  <c r="D15" i="5"/>
  <c r="E15" i="5" s="1"/>
  <c r="F14" i="5"/>
  <c r="B16" i="8"/>
  <c r="B19" i="5"/>
  <c r="B17" i="7"/>
  <c r="B17" i="6"/>
  <c r="D14" i="7"/>
  <c r="E14" i="7" s="1"/>
  <c r="F13" i="7"/>
  <c r="C74" i="2"/>
  <c r="C76" i="2" s="1"/>
  <c r="J14" i="2" s="1"/>
  <c r="I6" i="2"/>
  <c r="J6" i="2" s="1"/>
  <c r="J10" i="2" s="1"/>
  <c r="J15" i="2" l="1"/>
  <c r="J18" i="2" s="1"/>
  <c r="J23" i="2" s="1"/>
  <c r="J15" i="11"/>
  <c r="J18" i="11" s="1"/>
  <c r="J23" i="11" s="1"/>
  <c r="J15" i="10"/>
  <c r="J18" i="10" s="1"/>
  <c r="J23" i="10" s="1"/>
  <c r="D15" i="6"/>
  <c r="E15" i="6" s="1"/>
  <c r="F14" i="6"/>
  <c r="D15" i="7"/>
  <c r="E15" i="7" s="1"/>
  <c r="F14" i="7"/>
  <c r="D16" i="5"/>
  <c r="E16" i="5" s="1"/>
  <c r="F15" i="5"/>
  <c r="D16" i="8"/>
  <c r="E16" i="8" s="1"/>
  <c r="F15" i="8"/>
  <c r="B18" i="6"/>
  <c r="B18" i="7"/>
  <c r="B17" i="8"/>
  <c r="B20" i="5"/>
  <c r="I30" i="10" l="1"/>
  <c r="I31" i="10" s="1"/>
  <c r="J31" i="10" s="1"/>
  <c r="I36" i="10"/>
  <c r="I30" i="11"/>
  <c r="I31" i="11" s="1"/>
  <c r="J31" i="11" s="1"/>
  <c r="I36" i="11"/>
  <c r="I30" i="2"/>
  <c r="I31" i="2" s="1"/>
  <c r="J31" i="2" s="1"/>
  <c r="I35" i="11"/>
  <c r="I35" i="10"/>
  <c r="J30" i="11"/>
  <c r="D17" i="8"/>
  <c r="E17" i="8" s="1"/>
  <c r="F16" i="8"/>
  <c r="D16" i="7"/>
  <c r="E16" i="7" s="1"/>
  <c r="F15" i="7"/>
  <c r="D16" i="6"/>
  <c r="E16" i="6" s="1"/>
  <c r="F15" i="6"/>
  <c r="D17" i="5"/>
  <c r="E17" i="5" s="1"/>
  <c r="F16" i="5"/>
  <c r="B19" i="7"/>
  <c r="B21" i="5"/>
  <c r="B18" i="8"/>
  <c r="B19" i="6"/>
  <c r="J30" i="10" l="1"/>
  <c r="I37" i="10"/>
  <c r="I39" i="10" s="1"/>
  <c r="R33" i="6"/>
  <c r="J30" i="2"/>
  <c r="R33" i="8"/>
  <c r="I37" i="11"/>
  <c r="I39" i="11" s="1"/>
  <c r="J39" i="11" s="1"/>
  <c r="D17" i="7"/>
  <c r="E17" i="7"/>
  <c r="F16" i="7"/>
  <c r="D18" i="5"/>
  <c r="E18" i="5" s="1"/>
  <c r="F17" i="5"/>
  <c r="D17" i="6"/>
  <c r="E17" i="6" s="1"/>
  <c r="F16" i="6"/>
  <c r="D18" i="8"/>
  <c r="E18" i="8" s="1"/>
  <c r="F17" i="8"/>
  <c r="B20" i="6"/>
  <c r="B22" i="5"/>
  <c r="B19" i="8"/>
  <c r="B20" i="7"/>
  <c r="D19" i="5" l="1"/>
  <c r="E19" i="5" s="1"/>
  <c r="F18" i="5"/>
  <c r="D19" i="8"/>
  <c r="E19" i="8" s="1"/>
  <c r="F19" i="8" s="1"/>
  <c r="F18" i="8"/>
  <c r="B23" i="5"/>
  <c r="B21" i="7"/>
  <c r="D18" i="6"/>
  <c r="E18" i="6" s="1"/>
  <c r="F17" i="6"/>
  <c r="D18" i="7"/>
  <c r="E18" i="7"/>
  <c r="F17" i="7"/>
  <c r="B21" i="6"/>
  <c r="B20" i="8"/>
  <c r="D19" i="6" l="1"/>
  <c r="E19" i="6" s="1"/>
  <c r="F18" i="6"/>
  <c r="D20" i="5"/>
  <c r="E20" i="5" s="1"/>
  <c r="F19" i="5"/>
  <c r="B22" i="6"/>
  <c r="B24" i="5"/>
  <c r="B21" i="8"/>
  <c r="D19" i="7"/>
  <c r="E19" i="7" s="1"/>
  <c r="F18" i="7"/>
  <c r="B22" i="7"/>
  <c r="D20" i="8"/>
  <c r="E20" i="8" s="1"/>
  <c r="D21" i="5" l="1"/>
  <c r="E21" i="5" s="1"/>
  <c r="F20" i="5"/>
  <c r="D21" i="8"/>
  <c r="E21" i="8" s="1"/>
  <c r="F21" i="8" s="1"/>
  <c r="F20" i="8"/>
  <c r="B22" i="8"/>
  <c r="B23" i="6"/>
  <c r="D20" i="7"/>
  <c r="E20" i="7" s="1"/>
  <c r="F19" i="7"/>
  <c r="B23" i="7"/>
  <c r="B25" i="5"/>
  <c r="D20" i="6"/>
  <c r="E20" i="6" s="1"/>
  <c r="F19" i="6"/>
  <c r="D21" i="6" l="1"/>
  <c r="E21" i="6" s="1"/>
  <c r="F20" i="6"/>
  <c r="D21" i="7"/>
  <c r="E21" i="7" s="1"/>
  <c r="F20" i="7"/>
  <c r="D22" i="5"/>
  <c r="E22" i="5" s="1"/>
  <c r="F21" i="5"/>
  <c r="B23" i="8"/>
  <c r="B24" i="7"/>
  <c r="B26" i="5"/>
  <c r="D22" i="8"/>
  <c r="E22" i="8" s="1"/>
  <c r="B24" i="6"/>
  <c r="D23" i="5" l="1"/>
  <c r="E23" i="5" s="1"/>
  <c r="F22" i="5"/>
  <c r="D23" i="8"/>
  <c r="E23" i="8" s="1"/>
  <c r="F22" i="8"/>
  <c r="D22" i="6"/>
  <c r="E22" i="6" s="1"/>
  <c r="F21" i="6"/>
  <c r="B25" i="7"/>
  <c r="D22" i="7"/>
  <c r="E22" i="7" s="1"/>
  <c r="F21" i="7"/>
  <c r="B27" i="5"/>
  <c r="B25" i="6"/>
  <c r="B24" i="8"/>
  <c r="D23" i="6" l="1"/>
  <c r="E23" i="6" s="1"/>
  <c r="F22" i="6"/>
  <c r="D23" i="7"/>
  <c r="E23" i="7" s="1"/>
  <c r="F22" i="7"/>
  <c r="D24" i="5"/>
  <c r="E24" i="5"/>
  <c r="F23" i="5"/>
  <c r="D24" i="8"/>
  <c r="E24" i="8" s="1"/>
  <c r="F23" i="8"/>
  <c r="B25" i="8"/>
  <c r="B26" i="7"/>
  <c r="B26" i="6"/>
  <c r="B28" i="5"/>
  <c r="D25" i="8" l="1"/>
  <c r="E25" i="8" s="1"/>
  <c r="F25" i="8" s="1"/>
  <c r="F24" i="8"/>
  <c r="D24" i="6"/>
  <c r="E24" i="6" s="1"/>
  <c r="F23" i="6"/>
  <c r="D24" i="7"/>
  <c r="E24" i="7" s="1"/>
  <c r="F23" i="7"/>
  <c r="D25" i="5"/>
  <c r="E25" i="5" s="1"/>
  <c r="F24" i="5"/>
  <c r="B29" i="5"/>
  <c r="B26" i="8"/>
  <c r="B27" i="7"/>
  <c r="B27" i="6"/>
  <c r="D25" i="7" l="1"/>
  <c r="E25" i="7" s="1"/>
  <c r="F24" i="7"/>
  <c r="D26" i="5"/>
  <c r="E26" i="5" s="1"/>
  <c r="F25" i="5"/>
  <c r="D25" i="6"/>
  <c r="E25" i="6"/>
  <c r="F24" i="6"/>
  <c r="D26" i="8"/>
  <c r="E26" i="8" s="1"/>
  <c r="F26" i="8" s="1"/>
  <c r="B28" i="6"/>
  <c r="B27" i="8"/>
  <c r="B28" i="7"/>
  <c r="B30" i="5"/>
  <c r="D26" i="7" l="1"/>
  <c r="E26" i="7"/>
  <c r="F25" i="7"/>
  <c r="D27" i="5"/>
  <c r="E27" i="5" s="1"/>
  <c r="F26" i="5"/>
  <c r="D26" i="6"/>
  <c r="E26" i="6" s="1"/>
  <c r="F25" i="6"/>
  <c r="B29" i="7"/>
  <c r="B29" i="6"/>
  <c r="B31" i="5"/>
  <c r="B28" i="8"/>
  <c r="D27" i="8"/>
  <c r="E27" i="8" s="1"/>
  <c r="D28" i="8" l="1"/>
  <c r="E28" i="8" s="1"/>
  <c r="F27" i="8"/>
  <c r="B29" i="8"/>
  <c r="D27" i="6"/>
  <c r="E27" i="6" s="1"/>
  <c r="F26" i="6"/>
  <c r="B32" i="5"/>
  <c r="B30" i="7"/>
  <c r="D27" i="7"/>
  <c r="E27" i="7" s="1"/>
  <c r="F26" i="7"/>
  <c r="D28" i="5"/>
  <c r="E28" i="5" s="1"/>
  <c r="F27" i="5"/>
  <c r="B30" i="6"/>
  <c r="D28" i="7" l="1"/>
  <c r="E28" i="7" s="1"/>
  <c r="F27" i="7"/>
  <c r="D29" i="8"/>
  <c r="E29" i="8" s="1"/>
  <c r="F29" i="8" s="1"/>
  <c r="F28" i="8"/>
  <c r="B31" i="7"/>
  <c r="D28" i="6"/>
  <c r="E28" i="6" s="1"/>
  <c r="F27" i="6"/>
  <c r="B31" i="6"/>
  <c r="D29" i="5"/>
  <c r="E29" i="5"/>
  <c r="F28" i="5"/>
  <c r="B33" i="5"/>
  <c r="B30" i="8"/>
  <c r="D29" i="6" l="1"/>
  <c r="E29" i="6" s="1"/>
  <c r="F28" i="6"/>
  <c r="D29" i="7"/>
  <c r="E29" i="7" s="1"/>
  <c r="F28" i="7"/>
  <c r="D30" i="5"/>
  <c r="E30" i="5" s="1"/>
  <c r="F29" i="5"/>
  <c r="B31" i="8"/>
  <c r="B32" i="6"/>
  <c r="D30" i="8"/>
  <c r="E30" i="8" s="1"/>
  <c r="B32" i="7"/>
  <c r="B34" i="5"/>
  <c r="D31" i="8" l="1"/>
  <c r="E31" i="8" s="1"/>
  <c r="F31" i="8" s="1"/>
  <c r="F30" i="8"/>
  <c r="D31" i="5"/>
  <c r="E31" i="5" s="1"/>
  <c r="F30" i="5"/>
  <c r="D30" i="6"/>
  <c r="E30" i="6" s="1"/>
  <c r="F29" i="6"/>
  <c r="B33" i="7"/>
  <c r="B33" i="6"/>
  <c r="D30" i="7"/>
  <c r="E30" i="7" s="1"/>
  <c r="F29" i="7"/>
  <c r="B35" i="5"/>
  <c r="B32" i="8"/>
  <c r="D31" i="7" l="1"/>
  <c r="E31" i="7" s="1"/>
  <c r="F30" i="7"/>
  <c r="D31" i="6"/>
  <c r="E31" i="6" s="1"/>
  <c r="F30" i="6"/>
  <c r="D32" i="5"/>
  <c r="E32" i="5" s="1"/>
  <c r="F31" i="5"/>
  <c r="B33" i="8"/>
  <c r="B34" i="6"/>
  <c r="D32" i="8"/>
  <c r="E32" i="8" s="1"/>
  <c r="F32" i="8" s="1"/>
  <c r="B34" i="7"/>
  <c r="B36" i="5"/>
  <c r="D33" i="5" l="1"/>
  <c r="E33" i="5" s="1"/>
  <c r="F32" i="5"/>
  <c r="D32" i="7"/>
  <c r="E32" i="7" s="1"/>
  <c r="F31" i="7"/>
  <c r="B35" i="7"/>
  <c r="B35" i="6"/>
  <c r="B37" i="5"/>
  <c r="D33" i="8"/>
  <c r="E33" i="8" s="1"/>
  <c r="B34" i="8"/>
  <c r="D32" i="6"/>
  <c r="E32" i="6" s="1"/>
  <c r="F31" i="6"/>
  <c r="D34" i="8" l="1"/>
  <c r="E34" i="8" s="1"/>
  <c r="F33" i="8"/>
  <c r="D34" i="5"/>
  <c r="E34" i="5" s="1"/>
  <c r="F33" i="5"/>
  <c r="B35" i="8"/>
  <c r="D33" i="7"/>
  <c r="E33" i="7" s="1"/>
  <c r="F32" i="7"/>
  <c r="B38" i="5"/>
  <c r="B36" i="7"/>
  <c r="D33" i="6"/>
  <c r="E33" i="6" s="1"/>
  <c r="F32" i="6"/>
  <c r="B36" i="6"/>
  <c r="D34" i="7" l="1"/>
  <c r="E34" i="7"/>
  <c r="F33" i="7"/>
  <c r="D35" i="8"/>
  <c r="E35" i="8" s="1"/>
  <c r="F34" i="8"/>
  <c r="B37" i="6"/>
  <c r="D34" i="6"/>
  <c r="E34" i="6" s="1"/>
  <c r="F33" i="6"/>
  <c r="B39" i="5"/>
  <c r="D35" i="5"/>
  <c r="E35" i="5" s="1"/>
  <c r="F34" i="5"/>
  <c r="B36" i="8"/>
  <c r="B37" i="7"/>
  <c r="D35" i="6" l="1"/>
  <c r="E35" i="6" s="1"/>
  <c r="F34" i="6"/>
  <c r="D36" i="8"/>
  <c r="E36" i="8" s="1"/>
  <c r="F36" i="8" s="1"/>
  <c r="B40" i="5"/>
  <c r="B38" i="6"/>
  <c r="B38" i="7"/>
  <c r="F35" i="8"/>
  <c r="D36" i="5"/>
  <c r="E36" i="5" s="1"/>
  <c r="F35" i="5"/>
  <c r="D35" i="7"/>
  <c r="E35" i="7" s="1"/>
  <c r="F34" i="7"/>
  <c r="B37" i="8"/>
  <c r="D36" i="7" l="1"/>
  <c r="E36" i="7"/>
  <c r="F35" i="7"/>
  <c r="D37" i="5"/>
  <c r="E37" i="5" s="1"/>
  <c r="F36" i="5"/>
  <c r="D36" i="6"/>
  <c r="E36" i="6" s="1"/>
  <c r="F35" i="6"/>
  <c r="D37" i="8"/>
  <c r="E37" i="8" s="1"/>
  <c r="B38" i="8"/>
  <c r="B39" i="7"/>
  <c r="B41" i="5"/>
  <c r="B39" i="6"/>
  <c r="D37" i="6" l="1"/>
  <c r="E37" i="6" s="1"/>
  <c r="F36" i="6"/>
  <c r="B39" i="8"/>
  <c r="D38" i="5"/>
  <c r="E38" i="5" s="1"/>
  <c r="F37" i="5"/>
  <c r="B40" i="6"/>
  <c r="B42" i="5"/>
  <c r="B40" i="7"/>
  <c r="D37" i="7"/>
  <c r="E37" i="7"/>
  <c r="F36" i="7"/>
  <c r="D38" i="8"/>
  <c r="E38" i="8" s="1"/>
  <c r="F37" i="8"/>
  <c r="D39" i="5" l="1"/>
  <c r="E39" i="5" s="1"/>
  <c r="F38" i="5"/>
  <c r="D38" i="6"/>
  <c r="E38" i="6" s="1"/>
  <c r="F37" i="6"/>
  <c r="D38" i="7"/>
  <c r="E38" i="7" s="1"/>
  <c r="F37" i="7"/>
  <c r="B40" i="8"/>
  <c r="B43" i="5"/>
  <c r="D39" i="8"/>
  <c r="E39" i="8" s="1"/>
  <c r="B41" i="6"/>
  <c r="B41" i="7"/>
  <c r="F38" i="8"/>
  <c r="D40" i="8" l="1"/>
  <c r="E40" i="8" s="1"/>
  <c r="F39" i="8"/>
  <c r="D39" i="7"/>
  <c r="E39" i="7" s="1"/>
  <c r="F38" i="7"/>
  <c r="D40" i="5"/>
  <c r="E40" i="5" s="1"/>
  <c r="F39" i="5"/>
  <c r="B44" i="5"/>
  <c r="D39" i="6"/>
  <c r="E39" i="6" s="1"/>
  <c r="F38" i="6"/>
  <c r="B42" i="7"/>
  <c r="B41" i="8"/>
  <c r="B42" i="6"/>
  <c r="D40" i="7" l="1"/>
  <c r="E40" i="7"/>
  <c r="F39" i="7"/>
  <c r="D41" i="5"/>
  <c r="E41" i="5" s="1"/>
  <c r="F40" i="5"/>
  <c r="D41" i="8"/>
  <c r="E41" i="8" s="1"/>
  <c r="F40" i="8"/>
  <c r="D40" i="6"/>
  <c r="E40" i="6" s="1"/>
  <c r="F39" i="6"/>
  <c r="B43" i="6"/>
  <c r="B43" i="7"/>
  <c r="B45" i="5"/>
  <c r="B42" i="8"/>
  <c r="D42" i="8" l="1"/>
  <c r="E42" i="8" s="1"/>
  <c r="F41" i="8"/>
  <c r="D41" i="6"/>
  <c r="E41" i="6" s="1"/>
  <c r="F40" i="6"/>
  <c r="D42" i="5"/>
  <c r="E42" i="5" s="1"/>
  <c r="F41" i="5"/>
  <c r="B44" i="7"/>
  <c r="B43" i="8"/>
  <c r="B44" i="6"/>
  <c r="D41" i="7"/>
  <c r="E41" i="7" s="1"/>
  <c r="F40" i="7"/>
  <c r="B46" i="5"/>
  <c r="D42" i="7" l="1"/>
  <c r="E42" i="7"/>
  <c r="F41" i="7"/>
  <c r="D43" i="5"/>
  <c r="E43" i="5" s="1"/>
  <c r="F42" i="5"/>
  <c r="D43" i="8"/>
  <c r="E43" i="8" s="1"/>
  <c r="F42" i="8"/>
  <c r="B44" i="8"/>
  <c r="D42" i="6"/>
  <c r="E42" i="6" s="1"/>
  <c r="F41" i="6"/>
  <c r="B47" i="5"/>
  <c r="B45" i="6"/>
  <c r="B45" i="7"/>
  <c r="D44" i="8" l="1"/>
  <c r="E44" i="8" s="1"/>
  <c r="F43" i="8"/>
  <c r="D44" i="5"/>
  <c r="E44" i="5" s="1"/>
  <c r="F43" i="5"/>
  <c r="D43" i="6"/>
  <c r="E43" i="6" s="1"/>
  <c r="F42" i="6"/>
  <c r="B46" i="7"/>
  <c r="B48" i="5"/>
  <c r="B46" i="6"/>
  <c r="B45" i="8"/>
  <c r="D43" i="7"/>
  <c r="E43" i="7" s="1"/>
  <c r="F42" i="7"/>
  <c r="D44" i="7" l="1"/>
  <c r="E44" i="7"/>
  <c r="F43" i="7"/>
  <c r="D44" i="6"/>
  <c r="E44" i="6" s="1"/>
  <c r="F43" i="6"/>
  <c r="D45" i="8"/>
  <c r="E45" i="8" s="1"/>
  <c r="F44" i="8"/>
  <c r="D45" i="5"/>
  <c r="E45" i="5" s="1"/>
  <c r="F44" i="5"/>
  <c r="B46" i="8"/>
  <c r="B47" i="6"/>
  <c r="B49" i="5"/>
  <c r="B47" i="7"/>
  <c r="D46" i="8" l="1"/>
  <c r="E46" i="8" s="1"/>
  <c r="F45" i="8"/>
  <c r="B48" i="6"/>
  <c r="D45" i="6"/>
  <c r="E45" i="6" s="1"/>
  <c r="F44" i="6"/>
  <c r="B48" i="7"/>
  <c r="D45" i="7"/>
  <c r="E45" i="7"/>
  <c r="F44" i="7"/>
  <c r="D46" i="5"/>
  <c r="E46" i="5" s="1"/>
  <c r="F45" i="5"/>
  <c r="B50" i="5"/>
  <c r="B47" i="8"/>
  <c r="D46" i="6" l="1"/>
  <c r="E46" i="6" s="1"/>
  <c r="F45" i="6"/>
  <c r="D47" i="5"/>
  <c r="E47" i="5" s="1"/>
  <c r="F46" i="5"/>
  <c r="D47" i="8"/>
  <c r="E47" i="8" s="1"/>
  <c r="F46" i="8"/>
  <c r="D46" i="7"/>
  <c r="E46" i="7"/>
  <c r="F45" i="7"/>
  <c r="B48" i="8"/>
  <c r="B51" i="5"/>
  <c r="B49" i="7"/>
  <c r="B49" i="6"/>
  <c r="D48" i="8" l="1"/>
  <c r="E48" i="8" s="1"/>
  <c r="F47" i="8"/>
  <c r="D47" i="6"/>
  <c r="E47" i="6" s="1"/>
  <c r="F46" i="6"/>
  <c r="D48" i="5"/>
  <c r="E48" i="5" s="1"/>
  <c r="F47" i="5"/>
  <c r="D47" i="7"/>
  <c r="E47" i="7" s="1"/>
  <c r="F46" i="7"/>
  <c r="B50" i="6"/>
  <c r="B52" i="5"/>
  <c r="B50" i="7"/>
  <c r="B49" i="8"/>
  <c r="D48" i="7" l="1"/>
  <c r="E48" i="7"/>
  <c r="F47" i="7"/>
  <c r="D49" i="5"/>
  <c r="E49" i="5" s="1"/>
  <c r="F48" i="5"/>
  <c r="D49" i="8"/>
  <c r="E49" i="8" s="1"/>
  <c r="F48" i="8"/>
  <c r="D48" i="6"/>
  <c r="E48" i="6" s="1"/>
  <c r="F47" i="6"/>
  <c r="B50" i="8"/>
  <c r="B53" i="5"/>
  <c r="B51" i="6"/>
  <c r="B51" i="7"/>
  <c r="D50" i="8" l="1"/>
  <c r="E50" i="8" s="1"/>
  <c r="F49" i="8"/>
  <c r="D50" i="5"/>
  <c r="E50" i="5" s="1"/>
  <c r="F49" i="5"/>
  <c r="B54" i="5"/>
  <c r="D49" i="6"/>
  <c r="E49" i="6" s="1"/>
  <c r="F48" i="6"/>
  <c r="D49" i="7"/>
  <c r="E49" i="7" s="1"/>
  <c r="F48" i="7"/>
  <c r="B52" i="7"/>
  <c r="B52" i="6"/>
  <c r="B51" i="8"/>
  <c r="D50" i="6" l="1"/>
  <c r="E50" i="6" s="1"/>
  <c r="F49" i="6"/>
  <c r="D50" i="7"/>
  <c r="E50" i="7" s="1"/>
  <c r="F49" i="7"/>
  <c r="D51" i="8"/>
  <c r="E51" i="8" s="1"/>
  <c r="F50" i="8"/>
  <c r="D51" i="5"/>
  <c r="E51" i="5" s="1"/>
  <c r="F50" i="5"/>
  <c r="B53" i="7"/>
  <c r="B55" i="5"/>
  <c r="B52" i="8"/>
  <c r="B53" i="6"/>
  <c r="D51" i="7" l="1"/>
  <c r="E51" i="7"/>
  <c r="F50" i="7"/>
  <c r="D52" i="8"/>
  <c r="E52" i="8" s="1"/>
  <c r="F52" i="8" s="1"/>
  <c r="F51" i="8"/>
  <c r="D51" i="6"/>
  <c r="E51" i="6" s="1"/>
  <c r="F50" i="6"/>
  <c r="B56" i="5"/>
  <c r="B54" i="6"/>
  <c r="D52" i="5"/>
  <c r="E52" i="5" s="1"/>
  <c r="F51" i="5"/>
  <c r="B53" i="8"/>
  <c r="B54" i="7"/>
  <c r="D53" i="5" l="1"/>
  <c r="E53" i="5" s="1"/>
  <c r="F52" i="5"/>
  <c r="D52" i="6"/>
  <c r="E52" i="6" s="1"/>
  <c r="F51" i="6"/>
  <c r="D53" i="8"/>
  <c r="E53" i="8" s="1"/>
  <c r="B55" i="7"/>
  <c r="D52" i="7"/>
  <c r="E52" i="7"/>
  <c r="F51" i="7"/>
  <c r="B57" i="5"/>
  <c r="B54" i="8"/>
  <c r="B55" i="6"/>
  <c r="D54" i="8" l="1"/>
  <c r="E54" i="8" s="1"/>
  <c r="F53" i="8"/>
  <c r="D54" i="5"/>
  <c r="E54" i="5" s="1"/>
  <c r="F53" i="5"/>
  <c r="D53" i="6"/>
  <c r="E53" i="6" s="1"/>
  <c r="F52" i="6"/>
  <c r="B56" i="6"/>
  <c r="B58" i="5"/>
  <c r="B55" i="8"/>
  <c r="D53" i="7"/>
  <c r="E53" i="7" s="1"/>
  <c r="F52" i="7"/>
  <c r="B56" i="7"/>
  <c r="D54" i="7" l="1"/>
  <c r="E54" i="7"/>
  <c r="F53" i="7"/>
  <c r="D54" i="6"/>
  <c r="E54" i="6" s="1"/>
  <c r="F53" i="6"/>
  <c r="D55" i="8"/>
  <c r="E55" i="8" s="1"/>
  <c r="F54" i="8"/>
  <c r="D55" i="5"/>
  <c r="E55" i="5" s="1"/>
  <c r="F54" i="5"/>
  <c r="B57" i="7"/>
  <c r="B57" i="6"/>
  <c r="B56" i="8"/>
  <c r="B59" i="5"/>
  <c r="D56" i="8" l="1"/>
  <c r="E56" i="8" s="1"/>
  <c r="F55" i="8"/>
  <c r="D56" i="5"/>
  <c r="E56" i="5" s="1"/>
  <c r="F55" i="5"/>
  <c r="B58" i="6"/>
  <c r="D55" i="6"/>
  <c r="E55" i="6" s="1"/>
  <c r="F54" i="6"/>
  <c r="D55" i="7"/>
  <c r="E55" i="7"/>
  <c r="F54" i="7"/>
  <c r="B57" i="8"/>
  <c r="B58" i="7"/>
  <c r="D56" i="6" l="1"/>
  <c r="E56" i="6" s="1"/>
  <c r="F55" i="6"/>
  <c r="D57" i="8"/>
  <c r="E57" i="8" s="1"/>
  <c r="F57" i="8" s="1"/>
  <c r="F56" i="8"/>
  <c r="B58" i="8"/>
  <c r="B59" i="6"/>
  <c r="D57" i="5"/>
  <c r="E57" i="5" s="1"/>
  <c r="F56" i="5"/>
  <c r="B59" i="7"/>
  <c r="D56" i="7"/>
  <c r="E56" i="7" s="1"/>
  <c r="F55" i="7"/>
  <c r="D57" i="7" l="1"/>
  <c r="E57" i="7"/>
  <c r="F56" i="7"/>
  <c r="D58" i="5"/>
  <c r="E58" i="5" s="1"/>
  <c r="F57" i="5"/>
  <c r="D57" i="6"/>
  <c r="E57" i="6" s="1"/>
  <c r="F56" i="6"/>
  <c r="D58" i="8"/>
  <c r="E58" i="8" s="1"/>
  <c r="B59" i="8"/>
  <c r="D58" i="6" l="1"/>
  <c r="E58" i="6" s="1"/>
  <c r="F57" i="6"/>
  <c r="D59" i="8"/>
  <c r="E59" i="8" s="1"/>
  <c r="F59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F58" i="8"/>
  <c r="D59" i="5"/>
  <c r="E59" i="5" s="1"/>
  <c r="F59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F58" i="5"/>
  <c r="D58" i="7"/>
  <c r="E58" i="7" s="1"/>
  <c r="F57" i="7"/>
  <c r="D59" i="7" l="1"/>
  <c r="E59" i="7"/>
  <c r="F59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  <c r="F58" i="7"/>
  <c r="D59" i="6"/>
  <c r="E59" i="6" s="1"/>
  <c r="F59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F58" i="6"/>
</calcChain>
</file>

<file path=xl/sharedStrings.xml><?xml version="1.0" encoding="utf-8"?>
<sst xmlns="http://schemas.openxmlformats.org/spreadsheetml/2006/main" count="722" uniqueCount="304">
  <si>
    <t>Skatteberegningsprogram - enlig</t>
  </si>
  <si>
    <t>År 2025</t>
  </si>
  <si>
    <t>Person</t>
  </si>
  <si>
    <t>Privat indskud på ratepension (og ophørende livrente)</t>
  </si>
  <si>
    <t>Beregnings-grundlag</t>
  </si>
  <si>
    <t>Beregnet skat</t>
  </si>
  <si>
    <t>Privat indskud på livrente</t>
  </si>
  <si>
    <t>Beregning af skat</t>
  </si>
  <si>
    <t>Procent</t>
  </si>
  <si>
    <t>Fradrag</t>
  </si>
  <si>
    <t>Alder</t>
  </si>
  <si>
    <t>Bundskat</t>
  </si>
  <si>
    <t>Har fri telefon (ja/nej)</t>
  </si>
  <si>
    <t>nej</t>
  </si>
  <si>
    <t>Topskat</t>
  </si>
  <si>
    <t>Fagforening</t>
  </si>
  <si>
    <t>Sundhedsbidrag</t>
  </si>
  <si>
    <t>A-kasse og efterløn</t>
  </si>
  <si>
    <t>Kommuneskat</t>
  </si>
  <si>
    <t>Antal km til arbejde (tur/retur)</t>
  </si>
  <si>
    <t>Kirkeskat</t>
  </si>
  <si>
    <t>Antal arbejdsdage</t>
  </si>
  <si>
    <t>Medlem af Folkekirken (ja/nej)</t>
  </si>
  <si>
    <t>ja</t>
  </si>
  <si>
    <t>Vælg Kommune</t>
  </si>
  <si>
    <t>Lyngby-Taarbæk</t>
  </si>
  <si>
    <t>Evt skattetillæg af neg. KI under 50.000</t>
  </si>
  <si>
    <t>Kommuneskattesats</t>
  </si>
  <si>
    <t>Evt. nedslag i topskatten (lønindkomst)</t>
  </si>
  <si>
    <t>Kirkeskattesats</t>
  </si>
  <si>
    <t>Evt. nedslag i topskatten (kapitalindkomst)</t>
  </si>
  <si>
    <t>Grundskyldssats</t>
  </si>
  <si>
    <t>Ejendomsværdi (offentlig)</t>
  </si>
  <si>
    <t>Grundværdi (offentlig)</t>
  </si>
  <si>
    <r>
      <t>Evt skatterabat (</t>
    </r>
    <r>
      <rPr>
        <i/>
        <sz val="10"/>
        <rFont val="Arial"/>
        <family val="2"/>
      </rPr>
      <t>bolig købt før 1.jan.2024</t>
    </r>
    <r>
      <rPr>
        <sz val="10"/>
        <rFont val="Arial"/>
        <family val="2"/>
      </rPr>
      <t>)</t>
    </r>
  </si>
  <si>
    <t>Indkomstskat i alt (incl. AM-bidrag)</t>
  </si>
  <si>
    <t>Ejendomsværdiskat</t>
  </si>
  <si>
    <r>
      <t>Lønindkomst    (</t>
    </r>
    <r>
      <rPr>
        <b/>
        <i/>
        <sz val="8"/>
        <rFont val="Arial"/>
        <family val="2"/>
      </rPr>
      <t>efter evt. ATP</t>
    </r>
    <r>
      <rPr>
        <b/>
        <sz val="10"/>
        <rFont val="Arial"/>
        <family val="2"/>
      </rPr>
      <t>)</t>
    </r>
  </si>
  <si>
    <t>Grundskyld</t>
  </si>
  <si>
    <r>
      <t xml:space="preserve">  arbejdsgiverpensionsordning %   (</t>
    </r>
    <r>
      <rPr>
        <i/>
        <sz val="8"/>
        <rFont val="Arial"/>
        <family val="2"/>
      </rPr>
      <t>kun eget indskud</t>
    </r>
    <r>
      <rPr>
        <sz val="10"/>
        <rFont val="Arial"/>
        <family val="2"/>
      </rPr>
      <t>)</t>
    </r>
  </si>
  <si>
    <t>Skatterabat</t>
  </si>
  <si>
    <r>
      <t>- arbejdsgiverpensionsordning DKK   (</t>
    </r>
    <r>
      <rPr>
        <i/>
        <sz val="8"/>
        <rFont val="Arial"/>
        <family val="2"/>
      </rPr>
      <t>kun eget indskud</t>
    </r>
    <r>
      <rPr>
        <sz val="10"/>
        <rFont val="Arial"/>
        <family val="2"/>
      </rPr>
      <t>)</t>
    </r>
  </si>
  <si>
    <t>+ anden AM-pligtig indkomst</t>
  </si>
  <si>
    <t>Skat i alt</t>
  </si>
  <si>
    <t>+ fri telefon</t>
  </si>
  <si>
    <t>= Beregningsgrundlag for AM-bidrag</t>
  </si>
  <si>
    <t>Udbetalt efter skat</t>
  </si>
  <si>
    <t>- AM-bidrag</t>
  </si>
  <si>
    <t>Pr. år</t>
  </si>
  <si>
    <t>Pr. måned</t>
  </si>
  <si>
    <r>
      <t>+ Ikke AM-pligtig indkomst (</t>
    </r>
    <r>
      <rPr>
        <i/>
        <sz val="9"/>
        <rFont val="Arial"/>
        <family val="2"/>
      </rPr>
      <t>SU, dagpenge, pension etc.</t>
    </r>
    <r>
      <rPr>
        <sz val="10"/>
        <rFont val="Arial"/>
        <family val="2"/>
      </rPr>
      <t>)</t>
    </r>
  </si>
  <si>
    <t>Lønindkomst</t>
  </si>
  <si>
    <r>
      <t>- Eget indskud på ratepension    (</t>
    </r>
    <r>
      <rPr>
        <b/>
        <i/>
        <sz val="8"/>
        <rFont val="Arial"/>
        <family val="2"/>
      </rPr>
      <t>husk</t>
    </r>
    <r>
      <rPr>
        <i/>
        <sz val="8"/>
        <rFont val="Arial"/>
        <family val="2"/>
      </rPr>
      <t xml:space="preserve"> også at indtaste i budget</t>
    </r>
    <r>
      <rPr>
        <sz val="10"/>
        <rFont val="Arial"/>
        <family val="2"/>
      </rPr>
      <t>)</t>
    </r>
  </si>
  <si>
    <t>- arbejdsgiver pensionsordning</t>
  </si>
  <si>
    <r>
      <t>- Eget indskud på livrente    (</t>
    </r>
    <r>
      <rPr>
        <b/>
        <i/>
        <sz val="8"/>
        <rFont val="Arial"/>
        <family val="2"/>
      </rPr>
      <t>husk</t>
    </r>
    <r>
      <rPr>
        <i/>
        <sz val="8"/>
        <rFont val="Arial"/>
        <family val="2"/>
      </rPr>
      <t xml:space="preserve"> også at indtaste i budget</t>
    </r>
    <r>
      <rPr>
        <sz val="10"/>
        <rFont val="Arial"/>
        <family val="2"/>
      </rPr>
      <t>)</t>
    </r>
  </si>
  <si>
    <t>- skat</t>
  </si>
  <si>
    <t>= Personlig indkomst (PI)</t>
  </si>
  <si>
    <t>+ Renteindtægter</t>
  </si>
  <si>
    <t>-  Renteudgfter</t>
  </si>
  <si>
    <t>+ Kapitalindkomst (KI)  i alt</t>
  </si>
  <si>
    <t>Beskæftigelsesfradrag</t>
  </si>
  <si>
    <t>Jobfradrag</t>
  </si>
  <si>
    <t>Ekstra pensionsfradrag</t>
  </si>
  <si>
    <t>Fagforening, A-kasse og efterløn</t>
  </si>
  <si>
    <t>Befordring</t>
  </si>
  <si>
    <t>Andre ligningsmæssige fradrag</t>
  </si>
  <si>
    <t>- Ligningsmæssige fradrag i alt</t>
  </si>
  <si>
    <t>= Skattepligtig indkomst (SI)</t>
  </si>
  <si>
    <t>BEREGNINGSOMRÅDE (INDTAST IKKE NOGET)</t>
  </si>
  <si>
    <t>Person1</t>
  </si>
  <si>
    <t>sats</t>
  </si>
  <si>
    <t>dage</t>
  </si>
  <si>
    <t>km/dag</t>
  </si>
  <si>
    <t>min.</t>
  </si>
  <si>
    <t>frad./dag</t>
  </si>
  <si>
    <t>fradrag i alt</t>
  </si>
  <si>
    <t xml:space="preserve"> </t>
  </si>
  <si>
    <t>Befordring for km under standardgrænse</t>
  </si>
  <si>
    <t>Befordring for km over standardgrænse</t>
  </si>
  <si>
    <t>Samlet befordringsfradrag</t>
  </si>
  <si>
    <t>Evt. forhøjelser skal laves manuelt</t>
  </si>
  <si>
    <t>Ejendomsskatter</t>
  </si>
  <si>
    <t>Sats</t>
  </si>
  <si>
    <t>Høj sats</t>
  </si>
  <si>
    <t>Ejendomsværdi</t>
  </si>
  <si>
    <t>I alt</t>
  </si>
  <si>
    <t>Mellemregninger</t>
  </si>
  <si>
    <t>Person 1</t>
  </si>
  <si>
    <t>Værdi af personlig indkomst</t>
  </si>
  <si>
    <t>Værdi af personlig indkomst plus positiv kapitalindkomst</t>
  </si>
  <si>
    <t>Værdi af PI plus KI &gt; min grænse</t>
  </si>
  <si>
    <t>Positiv kapitalindkomst</t>
  </si>
  <si>
    <t>Positiv kapitalindkomst over min grænse</t>
  </si>
  <si>
    <t>Sum af skatteprocenter</t>
  </si>
  <si>
    <t>Topskatteberegningsgrundlag</t>
  </si>
  <si>
    <t xml:space="preserve"> - andel som vedrører lønindkomst</t>
  </si>
  <si>
    <t xml:space="preserve"> - andel som vedrører kapitalindkomst</t>
  </si>
  <si>
    <t>indbetaling før omk.</t>
  </si>
  <si>
    <t>pr. mdr</t>
  </si>
  <si>
    <t>helårlig rentetilskrivning i opsparingsperioden</t>
  </si>
  <si>
    <t>helårlig rentetilskrivning</t>
  </si>
  <si>
    <t>indbetaling efter omk.</t>
  </si>
  <si>
    <t>nuv. pensionsformue</t>
  </si>
  <si>
    <t>I udbetalingsperioden</t>
  </si>
  <si>
    <t>inflation</t>
  </si>
  <si>
    <t>til forrentning i antal år</t>
  </si>
  <si>
    <t>Friværdi i bolig bør også indgå i det samlede overblik</t>
  </si>
  <si>
    <t>afkast</t>
  </si>
  <si>
    <t>friværdi + anden formue</t>
  </si>
  <si>
    <t>Omkostninger =Forsikringer, adm &amp; AMB udgør i gns. Ca 20 % af indbetalingerne</t>
  </si>
  <si>
    <t>pal skat</t>
  </si>
  <si>
    <t xml:space="preserve">FV af pensionsformue </t>
  </si>
  <si>
    <t>Anden formue (kapitalpension, værdipapir, frie midler osv)</t>
  </si>
  <si>
    <t>NV af pensionsformue</t>
  </si>
  <si>
    <t>tidspunkt</t>
  </si>
  <si>
    <t>udbetaling</t>
  </si>
  <si>
    <t>pensionsformue</t>
  </si>
  <si>
    <t>netto</t>
  </si>
  <si>
    <t>primo</t>
  </si>
  <si>
    <t>årlig indbetaling</t>
  </si>
  <si>
    <t>Rente</t>
  </si>
  <si>
    <t>ultimo</t>
  </si>
  <si>
    <t>nutidsværdi</t>
  </si>
  <si>
    <t>brutto ***</t>
  </si>
  <si>
    <t>Målsøgning findes under :DATA-Hvad hvis- analyse</t>
  </si>
  <si>
    <t>Folkepension 2025</t>
  </si>
  <si>
    <t>pr. år</t>
  </si>
  <si>
    <t>What if analyse kan også laves på indbetalingerne</t>
  </si>
  <si>
    <t>Grundbeløb</t>
  </si>
  <si>
    <t>samt alle de gule felter (husk ingen formler)</t>
  </si>
  <si>
    <t>tillæg enlig</t>
  </si>
  <si>
    <t>tillæg par</t>
  </si>
  <si>
    <t>pr. stk</t>
  </si>
  <si>
    <t>ATP</t>
  </si>
  <si>
    <t>Max udbetaling</t>
  </si>
  <si>
    <t>Årsløn før skat</t>
  </si>
  <si>
    <t>75%/80% af løn</t>
  </si>
  <si>
    <t>Folkepension</t>
  </si>
  <si>
    <t>juster så det passer</t>
  </si>
  <si>
    <t>Atp</t>
  </si>
  <si>
    <t>Forventet udb. Pension</t>
  </si>
  <si>
    <t>evt. pensionsinfo</t>
  </si>
  <si>
    <t>NB! Vi forlænger rate til 20 år. Hvis fastholder de 10 år så vil pansionstallet falde efter 10 år til 39% og de første 10 år vil det være 74%</t>
  </si>
  <si>
    <t>Friværdi + anden formue</t>
  </si>
  <si>
    <t>***</t>
  </si>
  <si>
    <t>Mangler hvert år</t>
  </si>
  <si>
    <t>Udbetalt pr. år</t>
  </si>
  <si>
    <t>Udbetalt i %</t>
  </si>
  <si>
    <t xml:space="preserve">Antag at pensionsalderes efter 2030 fortsat er 68 år </t>
  </si>
  <si>
    <t>Dette er en meget forenklet billede af folkepensionsalderen -  vi har bestemt at det kun er disse I skal kende​</t>
  </si>
  <si>
    <t>Kilde: https://star.dk/ydelser/pension-og-efterloen/folkepension-og-foertidspension/folkepension/folkepensionsalderen-nu-og-fremover/​</t>
  </si>
  <si>
    <t>mangler at betale pr. mdr.</t>
  </si>
  <si>
    <t>før skat</t>
  </si>
  <si>
    <t>efter skat</t>
  </si>
  <si>
    <t>gæt topskat</t>
  </si>
  <si>
    <t>Jf. skatteberegner. Hans indkomst er ikke stor nok til at han kan trække hele imerindskuddet fra i topskatten</t>
  </si>
  <si>
    <t>År 2024</t>
  </si>
  <si>
    <t>Samlet skat i dag</t>
  </si>
  <si>
    <t>Samlet skat efter egen indbetaling</t>
  </si>
  <si>
    <t>Sparet skat</t>
  </si>
  <si>
    <t>Pensionsindbetaling</t>
  </si>
  <si>
    <t>Netto betalt</t>
  </si>
  <si>
    <t>Kommuneskattesatser 2025</t>
  </si>
  <si>
    <t>Arbejdsmarkedsbidrag</t>
  </si>
  <si>
    <t>Befordringsfradrag høje sats</t>
  </si>
  <si>
    <t>Kommunenavn</t>
  </si>
  <si>
    <t>Kommune</t>
  </si>
  <si>
    <t>Kirke</t>
  </si>
  <si>
    <t>Grundskyld (promille)</t>
  </si>
  <si>
    <t>Befordringsfradrag min km for høj sats</t>
  </si>
  <si>
    <t>Albertslund</t>
  </si>
  <si>
    <t>Befordringsfradrag max km for høj sats</t>
  </si>
  <si>
    <t>Allerød</t>
  </si>
  <si>
    <t>Befordringsfradrag lave sats</t>
  </si>
  <si>
    <t>Assens</t>
  </si>
  <si>
    <t>Befordringsfradrag Indtægtsgrænse for forhøjet  (før AM-bidrag)</t>
  </si>
  <si>
    <t>Ballerup</t>
  </si>
  <si>
    <t>Beskæftigelsesfradrag (%)</t>
  </si>
  <si>
    <t>Billund</t>
  </si>
  <si>
    <t>Beskæftigelsesfradrag (max)</t>
  </si>
  <si>
    <t>Bornholm</t>
  </si>
  <si>
    <t>Brøndby</t>
  </si>
  <si>
    <t>Ejendomsværdiskat - lave sats</t>
  </si>
  <si>
    <t>Brønderslev</t>
  </si>
  <si>
    <t>Ejendomsværdiskat - høje sats</t>
  </si>
  <si>
    <t>Dragør</t>
  </si>
  <si>
    <t>Ejendomsværdiskat - skillegrænse</t>
  </si>
  <si>
    <t>Egedal</t>
  </si>
  <si>
    <t>Ekstra pensionsfradrag (%)</t>
  </si>
  <si>
    <t>Esbjerg</t>
  </si>
  <si>
    <t>Ekstra pensionsfradrag (max)</t>
  </si>
  <si>
    <t>Fanø</t>
  </si>
  <si>
    <t>Ekstra pensionsfradrag (%) Senior</t>
  </si>
  <si>
    <t>Favrskov</t>
  </si>
  <si>
    <t>Ekstra pensionsfradrag (max) Senior</t>
  </si>
  <si>
    <t>Faxe</t>
  </si>
  <si>
    <t>Fagforening Max</t>
  </si>
  <si>
    <t>Fredensborg</t>
  </si>
  <si>
    <t>Firmabil grænse</t>
  </si>
  <si>
    <t>Fredericia</t>
  </si>
  <si>
    <t>Firmabil lave sats</t>
  </si>
  <si>
    <t>Frederiksberg</t>
  </si>
  <si>
    <t>Firmabil høje sats</t>
  </si>
  <si>
    <t>Frederikshavn</t>
  </si>
  <si>
    <t>Forsigtighedssats (Ejendomsskatter)</t>
  </si>
  <si>
    <t>Frederikssund</t>
  </si>
  <si>
    <t>Fri telefon</t>
  </si>
  <si>
    <t>Furesø</t>
  </si>
  <si>
    <t>Grøn check</t>
  </si>
  <si>
    <t>Faaborg-Midtfyn</t>
  </si>
  <si>
    <t>Grøn check modregning Start</t>
  </si>
  <si>
    <t>Gentofte</t>
  </si>
  <si>
    <t>Grøn check modregning Slut</t>
  </si>
  <si>
    <t>Gladsaxe</t>
  </si>
  <si>
    <t>Grøn check modregning Sats</t>
  </si>
  <si>
    <t>Glostrup</t>
  </si>
  <si>
    <t>Jobfradrag (%)</t>
  </si>
  <si>
    <t>Greve</t>
  </si>
  <si>
    <t>Jobfradraggrænse</t>
  </si>
  <si>
    <t>Gribskov</t>
  </si>
  <si>
    <t>Jobfradrag (max)</t>
  </si>
  <si>
    <t>Guldborgsund</t>
  </si>
  <si>
    <t>Kapitalindkomstgrænse til Topskat Par</t>
  </si>
  <si>
    <t>Haderslev</t>
  </si>
  <si>
    <t>Kapitalindkomstgrænse til Topskat Enlig</t>
  </si>
  <si>
    <t>Halsnæs</t>
  </si>
  <si>
    <t>Personfradrag</t>
  </si>
  <si>
    <t>Hedensted</t>
  </si>
  <si>
    <t>Personfradrag topskat</t>
  </si>
  <si>
    <t>Helsingør</t>
  </si>
  <si>
    <t>Ratepension Max indskud</t>
  </si>
  <si>
    <t>Herlev</t>
  </si>
  <si>
    <t>Skrå Skatteloft - personlig indkomst</t>
  </si>
  <si>
    <t>Herning</t>
  </si>
  <si>
    <t>Skrå Skatteloft - kapitalindkomst</t>
  </si>
  <si>
    <t>Hillerød</t>
  </si>
  <si>
    <t>Hjørring</t>
  </si>
  <si>
    <t>Tillæg for negativ kapitalindkomst procent</t>
  </si>
  <si>
    <t>Holbæk</t>
  </si>
  <si>
    <t>Tillæg for negativ kapitalindkomst grænse par</t>
  </si>
  <si>
    <t>Holstebro</t>
  </si>
  <si>
    <t>Tillæg for negativ kapitalindkomst grænse enlig</t>
  </si>
  <si>
    <t>Horsens</t>
  </si>
  <si>
    <t>Hvidovre</t>
  </si>
  <si>
    <t>Høje-Taastrup</t>
  </si>
  <si>
    <t>Hørsholm</t>
  </si>
  <si>
    <t>Ikast-Brande</t>
  </si>
  <si>
    <t>Ishøj</t>
  </si>
  <si>
    <t>Jammerbugt</t>
  </si>
  <si>
    <t>Kalundborg</t>
  </si>
  <si>
    <t>Kerteminde</t>
  </si>
  <si>
    <t>Kolding</t>
  </si>
  <si>
    <t>København</t>
  </si>
  <si>
    <t>Køge</t>
  </si>
  <si>
    <t>Langeland</t>
  </si>
  <si>
    <t>Lejre</t>
  </si>
  <si>
    <t>Lemvig</t>
  </si>
  <si>
    <t>Lolland</t>
  </si>
  <si>
    <t>Læsø</t>
  </si>
  <si>
    <t>Mariagerfjord</t>
  </si>
  <si>
    <t>Middelfart</t>
  </si>
  <si>
    <t>Morsø</t>
  </si>
  <si>
    <t>Norddjurs</t>
  </si>
  <si>
    <t>Nordfyns</t>
  </si>
  <si>
    <t>Nyborg</t>
  </si>
  <si>
    <t>Næstved</t>
  </si>
  <si>
    <t>Odder</t>
  </si>
  <si>
    <t>Odense</t>
  </si>
  <si>
    <t>Odsherred</t>
  </si>
  <si>
    <t>Randers</t>
  </si>
  <si>
    <t>Rebild</t>
  </si>
  <si>
    <t>Ringkøbing-Skjern</t>
  </si>
  <si>
    <t>Ringsted</t>
  </si>
  <si>
    <t>Roskilde</t>
  </si>
  <si>
    <t>Rudersdal</t>
  </si>
  <si>
    <t>Rødovre</t>
  </si>
  <si>
    <t>Samsø</t>
  </si>
  <si>
    <t>Silkeborg</t>
  </si>
  <si>
    <t>Skanderborg</t>
  </si>
  <si>
    <t>Skive</t>
  </si>
  <si>
    <t>Slagelse</t>
  </si>
  <si>
    <t>Solrød</t>
  </si>
  <si>
    <t>Sorø</t>
  </si>
  <si>
    <t>Stevns</t>
  </si>
  <si>
    <t>Struer</t>
  </si>
  <si>
    <t>Svendborg</t>
  </si>
  <si>
    <t>Syddjurs</t>
  </si>
  <si>
    <t>Sønderborg</t>
  </si>
  <si>
    <t>Thisted</t>
  </si>
  <si>
    <t>Tønder</t>
  </si>
  <si>
    <t>Tårnby</t>
  </si>
  <si>
    <t>Vallensbæk</t>
  </si>
  <si>
    <t>Varde</t>
  </si>
  <si>
    <t>Vejen</t>
  </si>
  <si>
    <t>Vejle</t>
  </si>
  <si>
    <t>Vesthimmerland</t>
  </si>
  <si>
    <t>Viborg</t>
  </si>
  <si>
    <t>Vordingborg</t>
  </si>
  <si>
    <t>Ærø</t>
  </si>
  <si>
    <t>Aabenraa</t>
  </si>
  <si>
    <t>Aalborg</t>
  </si>
  <si>
    <t>Aarhus</t>
  </si>
  <si>
    <t>Tilrettet til nye tal</t>
  </si>
  <si>
    <t>Ændret jf. pensionsinfo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</si>
</sst>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,##0.0"/>
    <numFmt numFmtId="166" formatCode="&quot;kr&quot;\ #,##0.00"/>
    <numFmt numFmtId="167" formatCode="0.0%"/>
    <numFmt numFmtId="168" formatCode="0.0000"/>
    <numFmt numFmtId="169" formatCode="_(* #,##0.0_);_(* \(#,##0.0\);_(* &quot;-&quot;??_);_(@_)"/>
    <numFmt numFmtId="170" formatCode="_(* #,##0_);_(* \(#,##0\);_(* &quot;-&quot;??_);_(@_)"/>
    <numFmt numFmtId="171" formatCode="0.0000%"/>
  </numFmts>
  <fonts count="32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i/>
      <sz val="10"/>
      <name val="Arial"/>
      <family val="2"/>
    </font>
    <font>
      <b/>
      <sz val="10"/>
      <color rgb="FF0000FF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10"/>
      <color indexed="10"/>
      <name val="Arial"/>
      <family val="2"/>
    </font>
    <font>
      <sz val="10"/>
      <color rgb="FF0000FF"/>
      <name val="Arial"/>
      <family val="2"/>
    </font>
    <font>
      <sz val="9"/>
      <name val="Arial"/>
      <family val="2"/>
    </font>
    <font>
      <sz val="10"/>
      <color indexed="12"/>
      <name val="MS Sans Serif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b/>
      <sz val="11"/>
      <color indexed="10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12"/>
      <color indexed="10"/>
      <name val="Arial"/>
      <family val="2"/>
    </font>
    <font>
      <b/>
      <sz val="10"/>
      <color indexed="8"/>
      <name val="Arial"/>
      <family val="2"/>
    </font>
    <font>
      <b/>
      <sz val="9"/>
      <color indexed="10"/>
      <name val="Arial"/>
      <family val="2"/>
    </font>
    <font>
      <i/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sz val="12"/>
      <color indexed="10"/>
      <name val="Arial"/>
      <family val="2"/>
    </font>
    <font>
      <sz val="18"/>
      <color rgb="FFFF0000"/>
      <name val="Arial"/>
      <family val="2"/>
    </font>
    <font>
      <sz val="12"/>
      <color rgb="FF14143C"/>
      <name val="Arial"/>
      <family val="2"/>
    </font>
    <font>
      <sz val="10"/>
      <color rgb="FF14143C"/>
      <name val="Arial"/>
      <family val="2"/>
    </font>
    <font>
      <sz val="10"/>
      <color rgb="FFFF0000"/>
      <name val="Arial"/>
      <family val="2"/>
    </font>
    <font>
      <u/>
      <sz val="12"/>
      <color theme="10"/>
      <name val="Calibri"/>
      <family val="2"/>
      <scheme val="minor"/>
    </font>
    <font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E5E5E5"/>
      </right>
      <top style="medium">
        <color indexed="64"/>
      </top>
      <bottom/>
      <diagonal/>
    </border>
    <border>
      <left/>
      <right style="medium">
        <color rgb="FFE5E5E5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266">
    <xf numFmtId="0" fontId="0" fillId="0" borderId="0" xfId="0"/>
    <xf numFmtId="0" fontId="2" fillId="0" borderId="0" xfId="1" applyFont="1" applyAlignment="1">
      <alignment horizontal="right"/>
    </xf>
    <xf numFmtId="3" fontId="3" fillId="0" borderId="0" xfId="1" applyNumberFormat="1" applyFont="1"/>
    <xf numFmtId="3" fontId="3" fillId="0" borderId="1" xfId="1" applyNumberFormat="1" applyFont="1" applyBorder="1" applyAlignment="1">
      <alignment horizontal="center"/>
    </xf>
    <xf numFmtId="3" fontId="1" fillId="0" borderId="0" xfId="1" applyNumberFormat="1"/>
    <xf numFmtId="0" fontId="1" fillId="0" borderId="0" xfId="1"/>
    <xf numFmtId="3" fontId="4" fillId="0" borderId="0" xfId="1" applyNumberFormat="1" applyFont="1" applyAlignment="1">
      <alignment horizontal="center"/>
    </xf>
    <xf numFmtId="3" fontId="2" fillId="2" borderId="2" xfId="1" applyNumberFormat="1" applyFont="1" applyFill="1" applyBorder="1" applyAlignment="1">
      <alignment horizontal="center"/>
    </xf>
    <xf numFmtId="3" fontId="2" fillId="0" borderId="0" xfId="1" applyNumberFormat="1" applyFont="1" applyAlignment="1">
      <alignment horizontal="center"/>
    </xf>
    <xf numFmtId="3" fontId="2" fillId="0" borderId="0" xfId="1" applyNumberFormat="1" applyFont="1"/>
    <xf numFmtId="0" fontId="1" fillId="0" borderId="2" xfId="1" applyBorder="1"/>
    <xf numFmtId="3" fontId="6" fillId="4" borderId="2" xfId="2" applyNumberFormat="1" applyFont="1" applyFill="1" applyBorder="1"/>
    <xf numFmtId="3" fontId="6" fillId="0" borderId="0" xfId="2" applyNumberFormat="1" applyFont="1" applyFill="1" applyBorder="1"/>
    <xf numFmtId="0" fontId="1" fillId="3" borderId="3" xfId="1" applyFill="1" applyBorder="1"/>
    <xf numFmtId="0" fontId="2" fillId="3" borderId="3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0" fontId="1" fillId="0" borderId="7" xfId="1" applyBorder="1"/>
    <xf numFmtId="3" fontId="6" fillId="4" borderId="7" xfId="2" applyNumberFormat="1" applyFont="1" applyFill="1" applyBorder="1"/>
    <xf numFmtId="0" fontId="2" fillId="3" borderId="8" xfId="1" applyFont="1" applyFill="1" applyBorder="1"/>
    <xf numFmtId="0" fontId="7" fillId="3" borderId="8" xfId="1" applyFont="1" applyFill="1" applyBorder="1" applyAlignment="1">
      <alignment horizontal="center"/>
    </xf>
    <xf numFmtId="3" fontId="7" fillId="3" borderId="9" xfId="1" quotePrefix="1" applyNumberFormat="1" applyFont="1" applyFill="1" applyBorder="1" applyAlignment="1">
      <alignment horizontal="center"/>
    </xf>
    <xf numFmtId="3" fontId="6" fillId="0" borderId="0" xfId="2" applyNumberFormat="1" applyFont="1" applyFill="1" applyBorder="1" applyAlignment="1">
      <alignment horizontal="right"/>
    </xf>
    <xf numFmtId="10" fontId="6" fillId="0" borderId="10" xfId="3" applyNumberFormat="1" applyFont="1" applyFill="1" applyBorder="1"/>
    <xf numFmtId="3" fontId="6" fillId="0" borderId="4" xfId="2" applyNumberFormat="1" applyFont="1" applyBorder="1"/>
    <xf numFmtId="3" fontId="1" fillId="0" borderId="3" xfId="1" applyNumberFormat="1" applyBorder="1"/>
    <xf numFmtId="3" fontId="2" fillId="0" borderId="4" xfId="1" applyNumberFormat="1" applyFont="1" applyBorder="1"/>
    <xf numFmtId="3" fontId="6" fillId="4" borderId="7" xfId="2" applyNumberFormat="1" applyFont="1" applyFill="1" applyBorder="1" applyAlignment="1">
      <alignment horizontal="right"/>
    </xf>
    <xf numFmtId="10" fontId="6" fillId="0" borderId="0" xfId="3" applyNumberFormat="1" applyFont="1" applyFill="1" applyBorder="1"/>
    <xf numFmtId="3" fontId="6" fillId="0" borderId="6" xfId="2" applyNumberFormat="1" applyFont="1" applyBorder="1"/>
    <xf numFmtId="3" fontId="1" fillId="0" borderId="5" xfId="1" applyNumberFormat="1" applyBorder="1"/>
    <xf numFmtId="3" fontId="2" fillId="0" borderId="6" xfId="1" applyNumberFormat="1" applyFont="1" applyBorder="1"/>
    <xf numFmtId="165" fontId="6" fillId="0" borderId="0" xfId="2" applyNumberFormat="1" applyFont="1" applyFill="1" applyBorder="1"/>
    <xf numFmtId="0" fontId="1" fillId="0" borderId="7" xfId="1" applyBorder="1" applyAlignment="1">
      <alignment horizontal="left"/>
    </xf>
    <xf numFmtId="165" fontId="6" fillId="4" borderId="7" xfId="2" applyNumberFormat="1" applyFont="1" applyFill="1" applyBorder="1"/>
    <xf numFmtId="0" fontId="1" fillId="0" borderId="11" xfId="1" applyBorder="1"/>
    <xf numFmtId="10" fontId="6" fillId="0" borderId="12" xfId="3" applyNumberFormat="1" applyFont="1" applyBorder="1"/>
    <xf numFmtId="3" fontId="1" fillId="0" borderId="12" xfId="1" applyNumberFormat="1" applyBorder="1"/>
    <xf numFmtId="3" fontId="1" fillId="0" borderId="11" xfId="1" applyNumberFormat="1" applyBorder="1"/>
    <xf numFmtId="3" fontId="2" fillId="0" borderId="13" xfId="1" applyNumberFormat="1" applyFont="1" applyBorder="1"/>
    <xf numFmtId="0" fontId="7" fillId="0" borderId="3" xfId="1" applyFont="1" applyBorder="1" applyAlignment="1">
      <alignment horizontal="center"/>
    </xf>
    <xf numFmtId="0" fontId="1" fillId="0" borderId="4" xfId="1" applyBorder="1"/>
    <xf numFmtId="0" fontId="7" fillId="0" borderId="0" xfId="1" applyFont="1" applyAlignment="1">
      <alignment horizontal="center"/>
    </xf>
    <xf numFmtId="14" fontId="1" fillId="0" borderId="0" xfId="1" applyNumberFormat="1"/>
    <xf numFmtId="0" fontId="1" fillId="0" borderId="14" xfId="1" applyBorder="1"/>
    <xf numFmtId="3" fontId="6" fillId="4" borderId="14" xfId="2" applyNumberFormat="1" applyFont="1" applyFill="1" applyBorder="1" applyAlignment="1">
      <alignment horizontal="right"/>
    </xf>
    <xf numFmtId="0" fontId="1" fillId="0" borderId="5" xfId="1" quotePrefix="1" applyBorder="1" applyAlignment="1">
      <alignment horizontal="left"/>
    </xf>
    <xf numFmtId="3" fontId="9" fillId="0" borderId="6" xfId="1" applyNumberFormat="1" applyFont="1" applyBorder="1"/>
    <xf numFmtId="10" fontId="6" fillId="5" borderId="7" xfId="3" applyNumberFormat="1" applyFont="1" applyFill="1" applyBorder="1"/>
    <xf numFmtId="0" fontId="1" fillId="0" borderId="5" xfId="1" applyBorder="1"/>
    <xf numFmtId="10" fontId="10" fillId="0" borderId="5" xfId="1" applyNumberFormat="1" applyFont="1" applyBorder="1"/>
    <xf numFmtId="10" fontId="10" fillId="0" borderId="0" xfId="1" applyNumberFormat="1" applyFont="1"/>
    <xf numFmtId="4" fontId="9" fillId="0" borderId="0" xfId="1" applyNumberFormat="1" applyFont="1"/>
    <xf numFmtId="3" fontId="2" fillId="0" borderId="0" xfId="1" applyNumberFormat="1" applyFont="1" applyAlignment="1">
      <alignment horizontal="right"/>
    </xf>
    <xf numFmtId="3" fontId="11" fillId="0" borderId="0" xfId="1" applyNumberFormat="1" applyFont="1" applyAlignment="1">
      <alignment horizontal="right"/>
    </xf>
    <xf numFmtId="0" fontId="1" fillId="0" borderId="0" xfId="1" applyAlignment="1">
      <alignment horizontal="right"/>
    </xf>
    <xf numFmtId="9" fontId="1" fillId="0" borderId="0" xfId="1" applyNumberFormat="1" applyAlignment="1">
      <alignment horizontal="right"/>
    </xf>
    <xf numFmtId="3" fontId="12" fillId="0" borderId="5" xfId="2" applyNumberFormat="1" applyFont="1" applyBorder="1"/>
    <xf numFmtId="0" fontId="1" fillId="0" borderId="3" xfId="1" applyBorder="1"/>
    <xf numFmtId="10" fontId="1" fillId="0" borderId="0" xfId="1" applyNumberFormat="1"/>
    <xf numFmtId="3" fontId="1" fillId="0" borderId="6" xfId="1" applyNumberFormat="1" applyBorder="1"/>
    <xf numFmtId="0" fontId="1" fillId="0" borderId="3" xfId="1" applyBorder="1" applyAlignment="1">
      <alignment horizontal="left"/>
    </xf>
    <xf numFmtId="0" fontId="1" fillId="0" borderId="10" xfId="1" applyBorder="1" applyAlignment="1">
      <alignment horizontal="right"/>
    </xf>
    <xf numFmtId="0" fontId="1" fillId="0" borderId="3" xfId="1" applyBorder="1" applyAlignment="1">
      <alignment horizontal="right"/>
    </xf>
    <xf numFmtId="0" fontId="1" fillId="0" borderId="8" xfId="1" applyBorder="1"/>
    <xf numFmtId="3" fontId="6" fillId="4" borderId="14" xfId="2" applyNumberFormat="1" applyFont="1" applyFill="1" applyBorder="1"/>
    <xf numFmtId="0" fontId="1" fillId="0" borderId="5" xfId="1" applyBorder="1" applyAlignment="1">
      <alignment horizontal="right"/>
    </xf>
    <xf numFmtId="0" fontId="9" fillId="0" borderId="0" xfId="1" applyFont="1" applyAlignment="1">
      <alignment horizontal="right"/>
    </xf>
    <xf numFmtId="0" fontId="14" fillId="0" borderId="0" xfId="1" applyFont="1"/>
    <xf numFmtId="3" fontId="15" fillId="0" borderId="0" xfId="2" applyNumberFormat="1" applyFont="1" applyFill="1" applyBorder="1"/>
    <xf numFmtId="0" fontId="1" fillId="0" borderId="5" xfId="1" applyBorder="1" applyAlignment="1">
      <alignment horizontal="left"/>
    </xf>
    <xf numFmtId="0" fontId="14" fillId="0" borderId="5" xfId="1" applyFont="1" applyBorder="1"/>
    <xf numFmtId="0" fontId="2" fillId="0" borderId="3" xfId="1" applyFont="1" applyBorder="1" applyAlignment="1">
      <alignment horizontal="left"/>
    </xf>
    <xf numFmtId="3" fontId="11" fillId="4" borderId="2" xfId="1" applyNumberFormat="1" applyFont="1" applyFill="1" applyBorder="1" applyAlignment="1">
      <alignment horizontal="right"/>
    </xf>
    <xf numFmtId="0" fontId="9" fillId="0" borderId="0" xfId="1" applyFont="1"/>
    <xf numFmtId="3" fontId="9" fillId="0" borderId="0" xfId="1" applyNumberFormat="1" applyFont="1"/>
    <xf numFmtId="9" fontId="1" fillId="4" borderId="7" xfId="1" applyNumberFormat="1" applyFill="1" applyBorder="1" applyAlignment="1">
      <alignment horizontal="right"/>
    </xf>
    <xf numFmtId="3" fontId="11" fillId="5" borderId="7" xfId="1" applyNumberFormat="1" applyFont="1" applyFill="1" applyBorder="1" applyAlignment="1">
      <alignment horizontal="right"/>
    </xf>
    <xf numFmtId="3" fontId="11" fillId="4" borderId="7" xfId="1" applyNumberFormat="1" applyFont="1" applyFill="1" applyBorder="1" applyAlignment="1">
      <alignment horizontal="right"/>
    </xf>
    <xf numFmtId="0" fontId="18" fillId="3" borderId="11" xfId="1" applyFont="1" applyFill="1" applyBorder="1"/>
    <xf numFmtId="3" fontId="1" fillId="3" borderId="12" xfId="1" applyNumberFormat="1" applyFill="1" applyBorder="1"/>
    <xf numFmtId="0" fontId="1" fillId="3" borderId="11" xfId="1" applyFill="1" applyBorder="1"/>
    <xf numFmtId="3" fontId="18" fillId="3" borderId="13" xfId="1" applyNumberFormat="1" applyFont="1" applyFill="1" applyBorder="1"/>
    <xf numFmtId="3" fontId="18" fillId="0" borderId="0" xfId="1" applyNumberFormat="1" applyFont="1"/>
    <xf numFmtId="0" fontId="1" fillId="0" borderId="8" xfId="1" quotePrefix="1" applyBorder="1" applyAlignment="1">
      <alignment horizontal="left"/>
    </xf>
    <xf numFmtId="3" fontId="11" fillId="0" borderId="14" xfId="1" applyNumberFormat="1" applyFont="1" applyBorder="1" applyAlignment="1">
      <alignment horizontal="right"/>
    </xf>
    <xf numFmtId="2" fontId="9" fillId="0" borderId="0" xfId="1" applyNumberFormat="1" applyFont="1" applyAlignment="1">
      <alignment horizontal="right"/>
    </xf>
    <xf numFmtId="0" fontId="9" fillId="0" borderId="15" xfId="1" quotePrefix="1" applyFont="1" applyBorder="1" applyAlignment="1">
      <alignment horizontal="left"/>
    </xf>
    <xf numFmtId="3" fontId="15" fillId="0" borderId="16" xfId="2" applyNumberFormat="1" applyFont="1" applyBorder="1"/>
    <xf numFmtId="0" fontId="9" fillId="0" borderId="5" xfId="1" quotePrefix="1" applyFont="1" applyBorder="1" applyAlignment="1">
      <alignment horizontal="left"/>
    </xf>
    <xf numFmtId="0" fontId="9" fillId="0" borderId="7" xfId="1" applyFont="1" applyBorder="1"/>
    <xf numFmtId="3" fontId="1" fillId="0" borderId="7" xfId="1" applyNumberFormat="1" applyBorder="1"/>
    <xf numFmtId="0" fontId="20" fillId="3" borderId="5" xfId="1" applyFont="1" applyFill="1" applyBorder="1" applyAlignment="1">
      <alignment horizontal="center"/>
    </xf>
    <xf numFmtId="3" fontId="20" fillId="3" borderId="6" xfId="1" applyNumberFormat="1" applyFont="1" applyFill="1" applyBorder="1" applyAlignment="1">
      <alignment horizontal="center"/>
    </xf>
    <xf numFmtId="0" fontId="20" fillId="0" borderId="0" xfId="1" applyFont="1" applyAlignment="1">
      <alignment horizontal="center"/>
    </xf>
    <xf numFmtId="3" fontId="20" fillId="0" borderId="0" xfId="1" applyNumberFormat="1" applyFont="1" applyAlignment="1">
      <alignment horizontal="center"/>
    </xf>
    <xf numFmtId="0" fontId="22" fillId="0" borderId="3" xfId="1" applyFont="1" applyBorder="1"/>
    <xf numFmtId="3" fontId="1" fillId="0" borderId="10" xfId="1" applyNumberFormat="1" applyBorder="1"/>
    <xf numFmtId="3" fontId="1" fillId="0" borderId="4" xfId="1" applyNumberFormat="1" applyBorder="1"/>
    <xf numFmtId="0" fontId="22" fillId="0" borderId="5" xfId="1" quotePrefix="1" applyFont="1" applyBorder="1"/>
    <xf numFmtId="3" fontId="9" fillId="0" borderId="0" xfId="2" applyNumberFormat="1" applyFont="1" applyFill="1" applyBorder="1"/>
    <xf numFmtId="10" fontId="1" fillId="0" borderId="0" xfId="3" applyNumberFormat="1" applyFont="1"/>
    <xf numFmtId="3" fontId="15" fillId="0" borderId="17" xfId="2" applyNumberFormat="1" applyFont="1" applyBorder="1"/>
    <xf numFmtId="0" fontId="23" fillId="3" borderId="11" xfId="1" applyFont="1" applyFill="1" applyBorder="1"/>
    <xf numFmtId="3" fontId="1" fillId="3" borderId="13" xfId="1" applyNumberFormat="1" applyFill="1" applyBorder="1"/>
    <xf numFmtId="3" fontId="24" fillId="6" borderId="11" xfId="1" applyNumberFormat="1" applyFont="1" applyFill="1" applyBorder="1"/>
    <xf numFmtId="3" fontId="24" fillId="6" borderId="13" xfId="1" applyNumberFormat="1" applyFont="1" applyFill="1" applyBorder="1"/>
    <xf numFmtId="3" fontId="24" fillId="0" borderId="0" xfId="1" applyNumberFormat="1" applyFont="1"/>
    <xf numFmtId="3" fontId="2" fillId="0" borderId="0" xfId="1" applyNumberFormat="1" applyFont="1" applyAlignment="1">
      <alignment horizontal="left"/>
    </xf>
    <xf numFmtId="0" fontId="1" fillId="0" borderId="5" xfId="1" quotePrefix="1" applyBorder="1"/>
    <xf numFmtId="3" fontId="9" fillId="0" borderId="7" xfId="2" applyNumberFormat="1" applyFont="1" applyBorder="1"/>
    <xf numFmtId="3" fontId="18" fillId="0" borderId="0" xfId="2" applyNumberFormat="1" applyFont="1" applyFill="1" applyBorder="1"/>
    <xf numFmtId="3" fontId="14" fillId="0" borderId="0" xfId="1" applyNumberFormat="1" applyFont="1"/>
    <xf numFmtId="0" fontId="2" fillId="0" borderId="5" xfId="1" quotePrefix="1" applyFont="1" applyBorder="1" applyAlignment="1">
      <alignment horizontal="left"/>
    </xf>
    <xf numFmtId="3" fontId="2" fillId="0" borderId="7" xfId="1" applyNumberFormat="1" applyFont="1" applyBorder="1"/>
    <xf numFmtId="0" fontId="9" fillId="0" borderId="11" xfId="1" quotePrefix="1" applyFont="1" applyBorder="1" applyAlignment="1">
      <alignment horizontal="left"/>
    </xf>
    <xf numFmtId="3" fontId="18" fillId="0" borderId="18" xfId="2" applyNumberFormat="1" applyFont="1" applyBorder="1"/>
    <xf numFmtId="0" fontId="2" fillId="3" borderId="18" xfId="1" applyFont="1" applyFill="1" applyBorder="1"/>
    <xf numFmtId="3" fontId="1" fillId="0" borderId="0" xfId="1" quotePrefix="1" applyNumberFormat="1" applyAlignment="1">
      <alignment horizontal="center"/>
    </xf>
    <xf numFmtId="3" fontId="2" fillId="2" borderId="18" xfId="1" applyNumberFormat="1" applyFont="1" applyFill="1" applyBorder="1" applyAlignment="1">
      <alignment horizontal="center"/>
    </xf>
    <xf numFmtId="0" fontId="1" fillId="3" borderId="10" xfId="1" applyFill="1" applyBorder="1" applyAlignment="1">
      <alignment horizontal="right"/>
    </xf>
    <xf numFmtId="0" fontId="1" fillId="3" borderId="10" xfId="1" quotePrefix="1" applyFill="1" applyBorder="1" applyAlignment="1">
      <alignment horizontal="right"/>
    </xf>
    <xf numFmtId="3" fontId="1" fillId="3" borderId="10" xfId="1" quotePrefix="1" applyNumberFormat="1" applyFill="1" applyBorder="1" applyAlignment="1">
      <alignment horizontal="right"/>
    </xf>
    <xf numFmtId="3" fontId="1" fillId="3" borderId="4" xfId="1" applyNumberFormat="1" applyFill="1" applyBorder="1" applyAlignment="1">
      <alignment horizontal="right"/>
    </xf>
    <xf numFmtId="0" fontId="1" fillId="3" borderId="5" xfId="1" applyFill="1" applyBorder="1"/>
    <xf numFmtId="166" fontId="12" fillId="3" borderId="0" xfId="1" applyNumberFormat="1" applyFont="1" applyFill="1"/>
    <xf numFmtId="3" fontId="12" fillId="3" borderId="0" xfId="2" applyNumberFormat="1" applyFont="1" applyFill="1" applyBorder="1"/>
    <xf numFmtId="165" fontId="12" fillId="3" borderId="0" xfId="2" applyNumberFormat="1" applyFont="1" applyFill="1" applyBorder="1"/>
    <xf numFmtId="165" fontId="1" fillId="3" borderId="0" xfId="1" applyNumberFormat="1" applyFill="1"/>
    <xf numFmtId="3" fontId="1" fillId="3" borderId="6" xfId="1" applyNumberFormat="1" applyFill="1" applyBorder="1"/>
    <xf numFmtId="0" fontId="2" fillId="3" borderId="5" xfId="1" applyFont="1" applyFill="1" applyBorder="1"/>
    <xf numFmtId="3" fontId="1" fillId="3" borderId="0" xfId="1" applyNumberFormat="1" applyFill="1"/>
    <xf numFmtId="0" fontId="18" fillId="0" borderId="0" xfId="1" applyFont="1" applyAlignment="1">
      <alignment horizontal="right"/>
    </xf>
    <xf numFmtId="0" fontId="1" fillId="3" borderId="8" xfId="1" quotePrefix="1" applyFill="1" applyBorder="1"/>
    <xf numFmtId="167" fontId="12" fillId="3" borderId="1" xfId="3" applyNumberFormat="1" applyFont="1" applyFill="1" applyBorder="1"/>
    <xf numFmtId="3" fontId="1" fillId="3" borderId="1" xfId="1" applyNumberFormat="1" applyFill="1" applyBorder="1"/>
    <xf numFmtId="3" fontId="12" fillId="3" borderId="1" xfId="2" applyNumberFormat="1" applyFont="1" applyFill="1" applyBorder="1"/>
    <xf numFmtId="3" fontId="1" fillId="3" borderId="9" xfId="1" applyNumberFormat="1" applyFill="1" applyBorder="1"/>
    <xf numFmtId="0" fontId="25" fillId="0" borderId="0" xfId="1" applyFont="1"/>
    <xf numFmtId="3" fontId="25" fillId="0" borderId="0" xfId="1" applyNumberFormat="1" applyFont="1"/>
    <xf numFmtId="166" fontId="12" fillId="0" borderId="0" xfId="1" applyNumberFormat="1" applyFont="1"/>
    <xf numFmtId="3" fontId="12" fillId="0" borderId="0" xfId="2" applyNumberFormat="1" applyFont="1"/>
    <xf numFmtId="0" fontId="2" fillId="3" borderId="3" xfId="1" applyFont="1" applyFill="1" applyBorder="1"/>
    <xf numFmtId="0" fontId="1" fillId="3" borderId="10" xfId="1" applyFill="1" applyBorder="1" applyAlignment="1">
      <alignment horizontal="center"/>
    </xf>
    <xf numFmtId="3" fontId="1" fillId="3" borderId="4" xfId="1" applyNumberFormat="1" applyFill="1" applyBorder="1" applyAlignment="1">
      <alignment horizontal="center"/>
    </xf>
    <xf numFmtId="10" fontId="12" fillId="3" borderId="0" xfId="3" applyNumberFormat="1" applyFont="1" applyFill="1" applyBorder="1" applyAlignment="1">
      <alignment horizontal="center"/>
    </xf>
    <xf numFmtId="3" fontId="12" fillId="3" borderId="0" xfId="2" applyNumberFormat="1" applyFont="1" applyFill="1" applyBorder="1" applyAlignment="1">
      <alignment horizontal="center"/>
    </xf>
    <xf numFmtId="3" fontId="1" fillId="3" borderId="6" xfId="1" applyNumberFormat="1" applyFill="1" applyBorder="1" applyAlignment="1">
      <alignment horizontal="center"/>
    </xf>
    <xf numFmtId="0" fontId="1" fillId="3" borderId="8" xfId="1" applyFill="1" applyBorder="1"/>
    <xf numFmtId="10" fontId="12" fillId="3" borderId="1" xfId="3" applyNumberFormat="1" applyFont="1" applyFill="1" applyBorder="1" applyAlignment="1">
      <alignment horizontal="center"/>
    </xf>
    <xf numFmtId="3" fontId="12" fillId="3" borderId="1" xfId="2" applyNumberFormat="1" applyFont="1" applyFill="1" applyBorder="1" applyAlignment="1">
      <alignment horizontal="center"/>
    </xf>
    <xf numFmtId="3" fontId="1" fillId="3" borderId="9" xfId="1" applyNumberFormat="1" applyFill="1" applyBorder="1" applyAlignment="1">
      <alignment horizontal="center"/>
    </xf>
    <xf numFmtId="0" fontId="2" fillId="0" borderId="0" xfId="1" applyFont="1"/>
    <xf numFmtId="0" fontId="1" fillId="3" borderId="3" xfId="1" applyFill="1" applyBorder="1" applyAlignment="1">
      <alignment horizontal="left"/>
    </xf>
    <xf numFmtId="3" fontId="1" fillId="3" borderId="2" xfId="1" applyNumberFormat="1" applyFill="1" applyBorder="1"/>
    <xf numFmtId="0" fontId="1" fillId="3" borderId="5" xfId="1" applyFill="1" applyBorder="1" applyAlignment="1">
      <alignment horizontal="left"/>
    </xf>
    <xf numFmtId="3" fontId="1" fillId="3" borderId="7" xfId="1" applyNumberFormat="1" applyFill="1" applyBorder="1"/>
    <xf numFmtId="168" fontId="1" fillId="0" borderId="0" xfId="1" applyNumberFormat="1"/>
    <xf numFmtId="10" fontId="1" fillId="3" borderId="7" xfId="1" applyNumberFormat="1" applyFill="1" applyBorder="1"/>
    <xf numFmtId="0" fontId="1" fillId="3" borderId="5" xfId="1" quotePrefix="1" applyFill="1" applyBorder="1" applyAlignment="1">
      <alignment horizontal="left"/>
    </xf>
    <xf numFmtId="0" fontId="1" fillId="3" borderId="8" xfId="1" quotePrefix="1" applyFill="1" applyBorder="1" applyAlignment="1">
      <alignment horizontal="left"/>
    </xf>
    <xf numFmtId="3" fontId="1" fillId="3" borderId="14" xfId="1" applyNumberFormat="1" applyFill="1" applyBorder="1"/>
    <xf numFmtId="169" fontId="0" fillId="0" borderId="0" xfId="2" applyNumberFormat="1" applyFont="1"/>
    <xf numFmtId="10" fontId="6" fillId="3" borderId="4" xfId="3" applyNumberFormat="1" applyFont="1" applyFill="1" applyBorder="1"/>
    <xf numFmtId="0" fontId="27" fillId="0" borderId="0" xfId="1" applyFont="1" applyAlignment="1">
      <alignment vertical="center" wrapText="1"/>
    </xf>
    <xf numFmtId="164" fontId="10" fillId="3" borderId="6" xfId="2" applyFont="1" applyFill="1" applyBorder="1"/>
    <xf numFmtId="0" fontId="28" fillId="7" borderId="19" xfId="1" applyFont="1" applyFill="1" applyBorder="1" applyAlignment="1">
      <alignment horizontal="left" vertical="top" wrapText="1"/>
    </xf>
    <xf numFmtId="0" fontId="28" fillId="7" borderId="20" xfId="1" applyFont="1" applyFill="1" applyBorder="1" applyAlignment="1">
      <alignment horizontal="left" vertical="top" wrapText="1"/>
    </xf>
    <xf numFmtId="169" fontId="28" fillId="7" borderId="4" xfId="2" applyNumberFormat="1" applyFont="1" applyFill="1" applyBorder="1" applyAlignment="1">
      <alignment horizontal="left" vertical="top" wrapText="1"/>
    </xf>
    <xf numFmtId="170" fontId="10" fillId="3" borderId="6" xfId="2" applyNumberFormat="1" applyFont="1" applyFill="1" applyBorder="1"/>
    <xf numFmtId="169" fontId="1" fillId="0" borderId="6" xfId="2" applyNumberFormat="1" applyFont="1" applyFill="1" applyBorder="1"/>
    <xf numFmtId="3" fontId="6" fillId="3" borderId="6" xfId="2" applyNumberFormat="1" applyFont="1" applyFill="1" applyBorder="1"/>
    <xf numFmtId="10" fontId="6" fillId="3" borderId="6" xfId="3" applyNumberFormat="1" applyFont="1" applyFill="1" applyBorder="1"/>
    <xf numFmtId="10" fontId="1" fillId="3" borderId="5" xfId="3" applyNumberFormat="1" applyFont="1" applyFill="1" applyBorder="1" applyAlignment="1">
      <alignment horizontal="left"/>
    </xf>
    <xf numFmtId="10" fontId="10" fillId="3" borderId="6" xfId="3" applyNumberFormat="1" applyFont="1" applyFill="1" applyBorder="1"/>
    <xf numFmtId="3" fontId="10" fillId="3" borderId="6" xfId="2" applyNumberFormat="1" applyFont="1" applyFill="1" applyBorder="1"/>
    <xf numFmtId="9" fontId="6" fillId="3" borderId="6" xfId="3" applyFont="1" applyFill="1" applyBorder="1"/>
    <xf numFmtId="3" fontId="29" fillId="3" borderId="6" xfId="2" applyNumberFormat="1" applyFont="1" applyFill="1" applyBorder="1"/>
    <xf numFmtId="167" fontId="29" fillId="3" borderId="6" xfId="3" applyNumberFormat="1" applyFont="1" applyFill="1" applyBorder="1"/>
    <xf numFmtId="3" fontId="1" fillId="3" borderId="5" xfId="1" applyNumberFormat="1" applyFill="1" applyBorder="1" applyAlignment="1">
      <alignment horizontal="left"/>
    </xf>
    <xf numFmtId="3" fontId="10" fillId="3" borderId="6" xfId="1" applyNumberFormat="1" applyFont="1" applyFill="1" applyBorder="1"/>
    <xf numFmtId="9" fontId="10" fillId="3" borderId="6" xfId="3" applyFont="1" applyFill="1" applyBorder="1"/>
    <xf numFmtId="9" fontId="6" fillId="3" borderId="9" xfId="3" applyFont="1" applyFill="1" applyBorder="1"/>
    <xf numFmtId="0" fontId="1" fillId="0" borderId="1" xfId="1" applyBorder="1"/>
    <xf numFmtId="169" fontId="1" fillId="0" borderId="9" xfId="2" applyNumberFormat="1" applyFont="1" applyFill="1" applyBorder="1"/>
    <xf numFmtId="3" fontId="2" fillId="8" borderId="0" xfId="1" applyNumberFormat="1" applyFont="1" applyFill="1"/>
    <xf numFmtId="3" fontId="1" fillId="9" borderId="0" xfId="1" applyNumberFormat="1" applyFill="1"/>
    <xf numFmtId="0" fontId="1" fillId="9" borderId="0" xfId="1" applyFill="1"/>
    <xf numFmtId="0" fontId="2" fillId="0" borderId="3" xfId="1" applyFont="1" applyBorder="1"/>
    <xf numFmtId="0" fontId="2" fillId="0" borderId="10" xfId="1" applyFont="1" applyBorder="1"/>
    <xf numFmtId="0" fontId="1" fillId="0" borderId="10" xfId="1" applyBorder="1"/>
    <xf numFmtId="0" fontId="2" fillId="0" borderId="4" xfId="1" applyFont="1" applyBorder="1" applyAlignment="1">
      <alignment horizontal="center"/>
    </xf>
    <xf numFmtId="0" fontId="2" fillId="0" borderId="11" xfId="1" applyFont="1" applyBorder="1"/>
    <xf numFmtId="0" fontId="2" fillId="0" borderId="12" xfId="1" applyFont="1" applyBorder="1"/>
    <xf numFmtId="0" fontId="1" fillId="0" borderId="13" xfId="1" applyBorder="1"/>
    <xf numFmtId="3" fontId="0" fillId="10" borderId="18" xfId="4" applyNumberFormat="1" applyFont="1" applyFill="1" applyBorder="1"/>
    <xf numFmtId="0" fontId="1" fillId="0" borderId="18" xfId="1" applyBorder="1"/>
    <xf numFmtId="10" fontId="1" fillId="10" borderId="18" xfId="1" applyNumberFormat="1" applyFill="1" applyBorder="1"/>
    <xf numFmtId="10" fontId="1" fillId="10" borderId="14" xfId="1" applyNumberFormat="1" applyFill="1" applyBorder="1"/>
    <xf numFmtId="0" fontId="1" fillId="0" borderId="6" xfId="1" applyBorder="1"/>
    <xf numFmtId="171" fontId="1" fillId="5" borderId="18" xfId="3" applyNumberFormat="1" applyFill="1" applyBorder="1"/>
    <xf numFmtId="10" fontId="1" fillId="5" borderId="18" xfId="3" applyNumberFormat="1" applyFill="1" applyBorder="1"/>
    <xf numFmtId="10" fontId="1" fillId="10" borderId="21" xfId="1" applyNumberFormat="1" applyFill="1" applyBorder="1"/>
    <xf numFmtId="170" fontId="0" fillId="0" borderId="18" xfId="4" applyNumberFormat="1" applyFont="1" applyBorder="1"/>
    <xf numFmtId="3" fontId="1" fillId="4" borderId="0" xfId="1" applyNumberFormat="1" applyFill="1"/>
    <xf numFmtId="9" fontId="1" fillId="0" borderId="2" xfId="1" applyNumberFormat="1" applyBorder="1"/>
    <xf numFmtId="0" fontId="1" fillId="11" borderId="18" xfId="1" applyFill="1" applyBorder="1" applyAlignment="1">
      <alignment horizontal="center"/>
    </xf>
    <xf numFmtId="0" fontId="1" fillId="11" borderId="18" xfId="1" applyFill="1" applyBorder="1"/>
    <xf numFmtId="0" fontId="1" fillId="11" borderId="11" xfId="1" applyFill="1" applyBorder="1" applyAlignment="1">
      <alignment horizontal="center"/>
    </xf>
    <xf numFmtId="9" fontId="1" fillId="11" borderId="18" xfId="1" applyNumberFormat="1" applyFill="1" applyBorder="1"/>
    <xf numFmtId="0" fontId="1" fillId="11" borderId="13" xfId="1" applyFill="1" applyBorder="1"/>
    <xf numFmtId="0" fontId="1" fillId="11" borderId="22" xfId="1" applyFill="1" applyBorder="1" applyAlignment="1">
      <alignment horizontal="center"/>
    </xf>
    <xf numFmtId="0" fontId="1" fillId="0" borderId="23" xfId="1" applyBorder="1"/>
    <xf numFmtId="170" fontId="1" fillId="5" borderId="24" xfId="1" applyNumberFormat="1" applyFill="1" applyBorder="1"/>
    <xf numFmtId="3" fontId="2" fillId="12" borderId="0" xfId="1" applyNumberFormat="1" applyFont="1" applyFill="1"/>
    <xf numFmtId="0" fontId="1" fillId="11" borderId="25" xfId="1" applyFill="1" applyBorder="1" applyAlignment="1">
      <alignment horizontal="center"/>
    </xf>
    <xf numFmtId="170" fontId="1" fillId="5" borderId="24" xfId="4" applyNumberFormat="1" applyFont="1" applyFill="1" applyBorder="1"/>
    <xf numFmtId="170" fontId="0" fillId="0" borderId="22" xfId="4" applyNumberFormat="1" applyFont="1" applyBorder="1"/>
    <xf numFmtId="170" fontId="0" fillId="0" borderId="24" xfId="4" applyNumberFormat="1" applyFont="1" applyBorder="1"/>
    <xf numFmtId="0" fontId="1" fillId="11" borderId="26" xfId="1" applyFill="1" applyBorder="1" applyAlignment="1">
      <alignment horizontal="center"/>
    </xf>
    <xf numFmtId="3" fontId="1" fillId="4" borderId="27" xfId="4" applyNumberFormat="1" applyFont="1" applyFill="1" applyBorder="1"/>
    <xf numFmtId="170" fontId="1" fillId="0" borderId="28" xfId="1" applyNumberFormat="1" applyBorder="1"/>
    <xf numFmtId="0" fontId="1" fillId="11" borderId="27" xfId="1" applyFill="1" applyBorder="1" applyAlignment="1">
      <alignment horizontal="center"/>
    </xf>
    <xf numFmtId="170" fontId="0" fillId="0" borderId="27" xfId="4" applyNumberFormat="1" applyFont="1" applyBorder="1"/>
    <xf numFmtId="3" fontId="0" fillId="0" borderId="27" xfId="4" applyNumberFormat="1" applyFont="1" applyBorder="1"/>
    <xf numFmtId="3" fontId="1" fillId="4" borderId="4" xfId="1" applyNumberFormat="1" applyFill="1" applyBorder="1"/>
    <xf numFmtId="9" fontId="1" fillId="0" borderId="1" xfId="1" applyNumberFormat="1" applyBorder="1"/>
    <xf numFmtId="3" fontId="1" fillId="0" borderId="9" xfId="1" applyNumberFormat="1" applyBorder="1"/>
    <xf numFmtId="3" fontId="1" fillId="4" borderId="6" xfId="1" applyNumberFormat="1" applyFill="1" applyBorder="1"/>
    <xf numFmtId="3" fontId="1" fillId="12" borderId="6" xfId="1" applyNumberFormat="1" applyFill="1" applyBorder="1"/>
    <xf numFmtId="0" fontId="2" fillId="12" borderId="11" xfId="1" applyFont="1" applyFill="1" applyBorder="1"/>
    <xf numFmtId="0" fontId="2" fillId="12" borderId="12" xfId="1" applyFont="1" applyFill="1" applyBorder="1"/>
    <xf numFmtId="3" fontId="2" fillId="12" borderId="13" xfId="1" applyNumberFormat="1" applyFont="1" applyFill="1" applyBorder="1"/>
    <xf numFmtId="0" fontId="2" fillId="12" borderId="3" xfId="1" applyFont="1" applyFill="1" applyBorder="1"/>
    <xf numFmtId="0" fontId="2" fillId="12" borderId="10" xfId="1" applyFont="1" applyFill="1" applyBorder="1"/>
    <xf numFmtId="3" fontId="2" fillId="12" borderId="4" xfId="1" applyNumberFormat="1" applyFont="1" applyFill="1" applyBorder="1"/>
    <xf numFmtId="170" fontId="1" fillId="14" borderId="28" xfId="1" applyNumberFormat="1" applyFill="1" applyBorder="1"/>
    <xf numFmtId="0" fontId="2" fillId="12" borderId="8" xfId="1" applyFont="1" applyFill="1" applyBorder="1"/>
    <xf numFmtId="0" fontId="2" fillId="12" borderId="1" xfId="1" applyFont="1" applyFill="1" applyBorder="1"/>
    <xf numFmtId="9" fontId="2" fillId="12" borderId="9" xfId="3" applyFont="1" applyFill="1" applyBorder="1"/>
    <xf numFmtId="1" fontId="1" fillId="0" borderId="0" xfId="1" applyNumberFormat="1"/>
    <xf numFmtId="0" fontId="2" fillId="15" borderId="0" xfId="1" applyFont="1" applyFill="1"/>
    <xf numFmtId="0" fontId="1" fillId="15" borderId="0" xfId="1" applyFill="1"/>
    <xf numFmtId="3" fontId="1" fillId="15" borderId="0" xfId="1" applyNumberFormat="1" applyFill="1"/>
    <xf numFmtId="0" fontId="31" fillId="0" borderId="0" xfId="0" applyFont="1"/>
    <xf numFmtId="0" fontId="1" fillId="5" borderId="0" xfId="1" applyFill="1"/>
    <xf numFmtId="0" fontId="1" fillId="0" borderId="27" xfId="1" applyBorder="1"/>
    <xf numFmtId="0" fontId="1" fillId="13" borderId="27" xfId="1" applyFill="1" applyBorder="1"/>
    <xf numFmtId="3" fontId="1" fillId="13" borderId="27" xfId="1" applyNumberFormat="1" applyFill="1" applyBorder="1"/>
    <xf numFmtId="0" fontId="19" fillId="3" borderId="3" xfId="1" applyFont="1" applyFill="1" applyBorder="1" applyAlignment="1">
      <alignment horizontal="center" vertical="center" wrapText="1"/>
    </xf>
    <xf numFmtId="0" fontId="19" fillId="3" borderId="10" xfId="1" applyFont="1" applyFill="1" applyBorder="1" applyAlignment="1">
      <alignment horizontal="center" vertical="center" wrapText="1"/>
    </xf>
    <xf numFmtId="0" fontId="19" fillId="3" borderId="4" xfId="1" applyFont="1" applyFill="1" applyBorder="1" applyAlignment="1">
      <alignment horizontal="center" vertical="center" wrapText="1"/>
    </xf>
    <xf numFmtId="0" fontId="19" fillId="3" borderId="8" xfId="1" applyFont="1" applyFill="1" applyBorder="1" applyAlignment="1">
      <alignment horizontal="center" vertical="center" wrapText="1"/>
    </xf>
    <xf numFmtId="0" fontId="19" fillId="3" borderId="1" xfId="1" applyFont="1" applyFill="1" applyBorder="1" applyAlignment="1">
      <alignment horizontal="center" vertical="center" wrapText="1"/>
    </xf>
    <xf numFmtId="0" fontId="19" fillId="3" borderId="9" xfId="1" applyFont="1" applyFill="1" applyBorder="1" applyAlignment="1">
      <alignment horizontal="center" vertical="center" wrapText="1"/>
    </xf>
    <xf numFmtId="3" fontId="5" fillId="3" borderId="3" xfId="1" applyNumberFormat="1" applyFont="1" applyFill="1" applyBorder="1" applyAlignment="1">
      <alignment horizontal="center"/>
    </xf>
    <xf numFmtId="3" fontId="5" fillId="3" borderId="4" xfId="1" applyNumberFormat="1" applyFont="1" applyFill="1" applyBorder="1" applyAlignment="1">
      <alignment horizontal="center"/>
    </xf>
    <xf numFmtId="3" fontId="5" fillId="0" borderId="0" xfId="1" applyNumberFormat="1" applyFont="1" applyAlignment="1">
      <alignment horizontal="center"/>
    </xf>
    <xf numFmtId="3" fontId="7" fillId="3" borderId="5" xfId="1" applyNumberFormat="1" applyFont="1" applyFill="1" applyBorder="1" applyAlignment="1">
      <alignment horizontal="center" wrapText="1"/>
    </xf>
    <xf numFmtId="3" fontId="7" fillId="3" borderId="8" xfId="1" applyNumberFormat="1" applyFont="1" applyFill="1" applyBorder="1" applyAlignment="1">
      <alignment horizontal="center" wrapText="1"/>
    </xf>
    <xf numFmtId="3" fontId="8" fillId="3" borderId="6" xfId="1" applyNumberFormat="1" applyFont="1" applyFill="1" applyBorder="1" applyAlignment="1">
      <alignment horizontal="center" wrapText="1"/>
    </xf>
    <xf numFmtId="3" fontId="8" fillId="3" borderId="9" xfId="1" applyNumberFormat="1" applyFont="1" applyFill="1" applyBorder="1" applyAlignment="1">
      <alignment horizontal="center" wrapText="1"/>
    </xf>
    <xf numFmtId="3" fontId="7" fillId="0" borderId="0" xfId="1" applyNumberFormat="1" applyFont="1" applyAlignment="1">
      <alignment horizontal="center" wrapText="1"/>
    </xf>
    <xf numFmtId="3" fontId="8" fillId="0" borderId="0" xfId="1" applyNumberFormat="1" applyFont="1" applyAlignment="1">
      <alignment horizontal="center" wrapText="1"/>
    </xf>
    <xf numFmtId="0" fontId="29" fillId="0" borderId="0" xfId="1" applyFont="1" applyAlignment="1">
      <alignment wrapText="1"/>
    </xf>
    <xf numFmtId="0" fontId="1" fillId="0" borderId="0" xfId="1" applyAlignment="1">
      <alignment horizontal="left" vertical="top" wrapText="1"/>
    </xf>
    <xf numFmtId="0" fontId="26" fillId="0" borderId="0" xfId="1" applyFont="1" applyAlignment="1">
      <alignment horizontal="left" vertical="center" wrapText="1"/>
    </xf>
  </cellXfs>
  <cellStyles count="6">
    <cellStyle name="Hyperlink" xfId="5" xr:uid="{00000000-000B-0000-0000-000008000000}"/>
    <cellStyle name="Komma 2" xfId="2" xr:uid="{409D7497-7052-F441-AA8D-9DB8175E5FCE}"/>
    <cellStyle name="Komma 6" xfId="4" xr:uid="{E53B60D1-6411-2944-AD40-1E0C1972242B}"/>
    <cellStyle name="Normal" xfId="0" builtinId="0"/>
    <cellStyle name="Normal 2" xfId="1" xr:uid="{EB3EB178-05DB-B84A-BAA4-C7DBCB1FF321}"/>
    <cellStyle name="Procent 2" xfId="3" xr:uid="{2D9C9662-1092-D349-A3B0-72D70011B4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16</xdr:row>
      <xdr:rowOff>9525</xdr:rowOff>
    </xdr:from>
    <xdr:to>
      <xdr:col>14</xdr:col>
      <xdr:colOff>114300</xdr:colOff>
      <xdr:row>27</xdr:row>
      <xdr:rowOff>635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AD5ED2C9-5C97-7144-B330-776894184B91}"/>
            </a:ext>
            <a:ext uri="{147F2762-F138-4A5C-976F-8EAC2B608ADB}">
              <a16:predDERef xmlns:a16="http://schemas.microsoft.com/office/drawing/2014/main" pre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3625" y="2740025"/>
          <a:ext cx="3787775" cy="2260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16</xdr:row>
      <xdr:rowOff>9525</xdr:rowOff>
    </xdr:from>
    <xdr:to>
      <xdr:col>14</xdr:col>
      <xdr:colOff>114300</xdr:colOff>
      <xdr:row>27</xdr:row>
      <xdr:rowOff>635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3D88FC73-DD75-7540-B9C1-53181BA8FE98}"/>
            </a:ext>
            <a:ext uri="{147F2762-F138-4A5C-976F-8EAC2B608ADB}">
              <a16:predDERef xmlns:a16="http://schemas.microsoft.com/office/drawing/2014/main" pre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3625" y="2727325"/>
          <a:ext cx="3787775" cy="226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16</xdr:row>
      <xdr:rowOff>9525</xdr:rowOff>
    </xdr:from>
    <xdr:to>
      <xdr:col>14</xdr:col>
      <xdr:colOff>114300</xdr:colOff>
      <xdr:row>26</xdr:row>
      <xdr:rowOff>175540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886202A9-986C-5E47-A04A-BB028427E21F}"/>
            </a:ext>
            <a:ext uri="{147F2762-F138-4A5C-976F-8EAC2B608ADB}">
              <a16:predDERef xmlns:a16="http://schemas.microsoft.com/office/drawing/2014/main" pre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3625" y="2740025"/>
          <a:ext cx="3787775" cy="22574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16</xdr:row>
      <xdr:rowOff>9525</xdr:rowOff>
    </xdr:from>
    <xdr:to>
      <xdr:col>14</xdr:col>
      <xdr:colOff>114300</xdr:colOff>
      <xdr:row>26</xdr:row>
      <xdr:rowOff>206897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1C7F124C-2770-AE41-95CF-8507BED86CF3}"/>
            </a:ext>
            <a:ext uri="{147F2762-F138-4A5C-976F-8EAC2B608ADB}">
              <a16:predDERef xmlns:a16="http://schemas.microsoft.com/office/drawing/2014/main" pre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3625" y="2740025"/>
          <a:ext cx="3787775" cy="226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3F09-05A2-524E-B970-8744EDBED93D}">
  <sheetPr>
    <pageSetUpPr fitToPage="1"/>
  </sheetPr>
  <dimension ref="A1:AN386"/>
  <sheetViews>
    <sheetView tabSelected="1" zoomScale="90" zoomScaleNormal="120" workbookViewId="0">
      <selection activeCell="J31" sqref="J31"/>
    </sheetView>
  </sheetViews>
  <sheetFormatPr baseColWidth="10" defaultColWidth="8.83203125" defaultRowHeight="13"/>
  <cols>
    <col min="1" max="1" width="1.6640625" style="1" customWidth="1"/>
    <col min="2" max="2" width="51.83203125" style="5" customWidth="1"/>
    <col min="3" max="3" width="14" style="5" customWidth="1"/>
    <col min="4" max="4" width="14.5" style="4" customWidth="1"/>
    <col min="5" max="5" width="5.5" style="4" customWidth="1"/>
    <col min="6" max="6" width="37.5" style="4" customWidth="1"/>
    <col min="7" max="7" width="9.5" style="4" customWidth="1"/>
    <col min="8" max="8" width="12.1640625" style="4" customWidth="1"/>
    <col min="9" max="9" width="12.5" style="5" customWidth="1"/>
    <col min="10" max="10" width="13.5" style="5" customWidth="1"/>
    <col min="11" max="11" width="11.83203125" style="5" customWidth="1"/>
    <col min="12" max="12" width="14.5" style="5" customWidth="1"/>
    <col min="13" max="25" width="13.5" style="5" customWidth="1"/>
    <col min="26" max="27" width="11" style="5" customWidth="1"/>
    <col min="28" max="28" width="14.1640625" style="5" customWidth="1"/>
    <col min="29" max="40" width="11" style="5" customWidth="1"/>
    <col min="41" max="16384" width="8.83203125" style="5"/>
  </cols>
  <sheetData>
    <row r="1" spans="1:32" ht="19" thickBot="1">
      <c r="B1" s="2" t="s">
        <v>0</v>
      </c>
      <c r="C1" s="3" t="s">
        <v>1</v>
      </c>
      <c r="D1" s="2"/>
      <c r="F1" s="5"/>
      <c r="G1" s="5"/>
      <c r="H1" s="5"/>
    </row>
    <row r="2" spans="1:32" ht="14" thickBot="1">
      <c r="B2" s="6"/>
      <c r="C2" s="7" t="s">
        <v>2</v>
      </c>
      <c r="D2" s="8"/>
      <c r="F2" s="9"/>
      <c r="I2" s="254" t="str">
        <f>C2</f>
        <v>Person</v>
      </c>
      <c r="J2" s="255"/>
      <c r="K2" s="256"/>
      <c r="L2" s="256"/>
    </row>
    <row r="3" spans="1:32">
      <c r="B3" s="10" t="s">
        <v>3</v>
      </c>
      <c r="C3" s="11">
        <v>65500</v>
      </c>
      <c r="D3" s="12"/>
      <c r="F3" s="13"/>
      <c r="G3" s="14"/>
      <c r="H3" s="15"/>
      <c r="I3" s="257" t="s">
        <v>4</v>
      </c>
      <c r="J3" s="259" t="s">
        <v>5</v>
      </c>
      <c r="K3" s="261"/>
      <c r="L3" s="262"/>
    </row>
    <row r="4" spans="1:32" ht="14" thickBot="1">
      <c r="B4" s="16" t="s">
        <v>6</v>
      </c>
      <c r="C4" s="17">
        <v>60300</v>
      </c>
      <c r="D4" s="12"/>
      <c r="F4" s="18" t="s">
        <v>7</v>
      </c>
      <c r="G4" s="19" t="s">
        <v>8</v>
      </c>
      <c r="H4" s="20" t="s">
        <v>9</v>
      </c>
      <c r="I4" s="258"/>
      <c r="J4" s="260"/>
      <c r="K4" s="261"/>
      <c r="L4" s="262"/>
    </row>
    <row r="5" spans="1:32">
      <c r="B5" s="16" t="s">
        <v>10</v>
      </c>
      <c r="C5" s="17">
        <f>68-15</f>
        <v>53</v>
      </c>
      <c r="D5" s="21"/>
      <c r="F5" s="10" t="s">
        <v>11</v>
      </c>
      <c r="G5" s="22">
        <f>Bundskat</f>
        <v>0.1201</v>
      </c>
      <c r="H5" s="23">
        <f>Personfradrag</f>
        <v>51600</v>
      </c>
      <c r="I5" s="24">
        <f>IF(C35&gt;=0,C31+C35-H5,C31-H5)</f>
        <v>705800</v>
      </c>
      <c r="J5" s="25">
        <f>+IF(I5&gt;0,G5*I5,0)</f>
        <v>84766.58</v>
      </c>
      <c r="K5" s="4"/>
      <c r="L5" s="4"/>
      <c r="N5" s="4"/>
    </row>
    <row r="6" spans="1:32">
      <c r="B6" s="16" t="s">
        <v>12</v>
      </c>
      <c r="C6" s="26" t="s">
        <v>13</v>
      </c>
      <c r="D6" s="12"/>
      <c r="F6" s="16" t="s">
        <v>14</v>
      </c>
      <c r="G6" s="27">
        <f>Topskat</f>
        <v>0.15</v>
      </c>
      <c r="H6" s="28">
        <f>TopSkatGranse</f>
        <v>611800</v>
      </c>
      <c r="I6" s="29">
        <f>MAX((C70-$H$6),0)</f>
        <v>145600</v>
      </c>
      <c r="J6" s="30">
        <f>G6*I6</f>
        <v>21840</v>
      </c>
      <c r="K6" s="4"/>
      <c r="L6" s="9"/>
      <c r="N6" s="4"/>
    </row>
    <row r="7" spans="1:32">
      <c r="B7" s="16" t="s">
        <v>15</v>
      </c>
      <c r="C7" s="17">
        <v>0</v>
      </c>
      <c r="D7" s="12"/>
      <c r="F7" s="16" t="s">
        <v>16</v>
      </c>
      <c r="G7" s="27">
        <f>Sundhedsbidrag</f>
        <v>0</v>
      </c>
      <c r="H7" s="28">
        <f>Personfradrag</f>
        <v>51600</v>
      </c>
      <c r="I7" s="29">
        <f>($C$45+AB29)-(H7+AB43)</f>
        <v>620484</v>
      </c>
      <c r="J7" s="30">
        <f>+IF(I7&gt;0,I7*G7,0)</f>
        <v>0</v>
      </c>
      <c r="K7" s="4"/>
      <c r="L7" s="9"/>
      <c r="N7" s="4"/>
    </row>
    <row r="8" spans="1:32">
      <c r="B8" s="16" t="s">
        <v>17</v>
      </c>
      <c r="C8" s="17">
        <v>0</v>
      </c>
      <c r="D8" s="31"/>
      <c r="F8" s="16" t="s">
        <v>18</v>
      </c>
      <c r="G8" s="27">
        <f>C13</f>
        <v>0.26300000000000001</v>
      </c>
      <c r="H8" s="28">
        <f>Personfradrag</f>
        <v>51600</v>
      </c>
      <c r="I8" s="29">
        <f>($C$45+AB29)-(H8+AB44)</f>
        <v>620484</v>
      </c>
      <c r="J8" s="30">
        <f>+IF(I8&gt;0,$C$13*I8,0)</f>
        <v>163187.29200000002</v>
      </c>
      <c r="K8" s="4"/>
      <c r="L8" s="9"/>
      <c r="N8" s="4"/>
    </row>
    <row r="9" spans="1:32" ht="14" thickBot="1">
      <c r="B9" s="32" t="s">
        <v>19</v>
      </c>
      <c r="C9" s="33">
        <v>0</v>
      </c>
      <c r="D9" s="12"/>
      <c r="F9" s="16" t="s">
        <v>20</v>
      </c>
      <c r="G9" s="27">
        <f>C14</f>
        <v>1.3000000000000001E-2</v>
      </c>
      <c r="H9" s="28">
        <f>Personfradrag</f>
        <v>51600</v>
      </c>
      <c r="I9" s="29">
        <f>($C$45+AB29)-(H9+AB45)</f>
        <v>620484</v>
      </c>
      <c r="J9" s="30">
        <f>+IF(I9&gt;0,$C$14*I9,0)</f>
        <v>8066.2920000000004</v>
      </c>
      <c r="K9" s="4"/>
      <c r="L9" s="9"/>
      <c r="N9" s="4"/>
    </row>
    <row r="10" spans="1:32" ht="14" thickBot="1">
      <c r="B10" s="16" t="s">
        <v>21</v>
      </c>
      <c r="C10" s="17">
        <v>0</v>
      </c>
      <c r="D10" s="27"/>
      <c r="F10" s="34"/>
      <c r="G10" s="35"/>
      <c r="H10" s="36"/>
      <c r="I10" s="37"/>
      <c r="J10" s="38">
        <f>SUM(J5:J9)</f>
        <v>277860.16400000005</v>
      </c>
      <c r="K10" s="4"/>
      <c r="L10" s="9"/>
      <c r="N10" s="4"/>
    </row>
    <row r="11" spans="1:32">
      <c r="B11" s="16" t="s">
        <v>22</v>
      </c>
      <c r="C11" s="26" t="s">
        <v>23</v>
      </c>
      <c r="D11" s="27"/>
      <c r="F11" s="29"/>
      <c r="I11" s="39"/>
      <c r="J11" s="40"/>
      <c r="K11" s="41"/>
      <c r="L11" s="42"/>
    </row>
    <row r="12" spans="1:32" ht="14" thickBot="1">
      <c r="B12" s="43" t="s">
        <v>24</v>
      </c>
      <c r="C12" s="44" t="s">
        <v>25</v>
      </c>
      <c r="D12" s="12"/>
      <c r="F12" s="45" t="s">
        <v>26</v>
      </c>
      <c r="G12" s="27"/>
      <c r="I12" s="29"/>
      <c r="J12" s="46">
        <f>IF(C35&gt;=0,0,IF(C35&gt;=GranseNegKIEnlig,TillagNegKI*C35,TillagNegKI*GranseNegKIEnlig))</f>
        <v>0</v>
      </c>
      <c r="K12" s="4"/>
      <c r="L12" s="42"/>
    </row>
    <row r="13" spans="1:32">
      <c r="B13" s="16" t="s">
        <v>27</v>
      </c>
      <c r="C13" s="47">
        <f>VLOOKUP($C$12,Skattesatser!$B$6:$E$103,2)/100</f>
        <v>0.26300000000000001</v>
      </c>
      <c r="D13" s="8"/>
      <c r="F13" s="48" t="s">
        <v>28</v>
      </c>
      <c r="G13" s="5"/>
      <c r="I13" s="49">
        <f>IF($C$73&gt;SkraatSkatteloftPI,$C$73-SkraatSkatteloftPI,0)</f>
        <v>1.2399999999999967E-2</v>
      </c>
      <c r="J13" s="46">
        <f>-I13*C75</f>
        <v>-1805.4399999999951</v>
      </c>
      <c r="K13" s="50"/>
      <c r="L13" s="51"/>
    </row>
    <row r="14" spans="1:32" s="54" customFormat="1">
      <c r="A14" s="52"/>
      <c r="B14" s="16" t="s">
        <v>29</v>
      </c>
      <c r="C14" s="47">
        <f>IF(C11="ja",VLOOKUP($C$12,Skattesatser!$B$6:$E$103,3)/100,0)</f>
        <v>1.3000000000000001E-2</v>
      </c>
      <c r="D14" s="53"/>
      <c r="F14" s="48" t="s">
        <v>30</v>
      </c>
      <c r="G14" s="5"/>
      <c r="H14" s="4"/>
      <c r="I14" s="49">
        <f>IF($C$73&gt;SkraatSkatteloftKI,$C$73-SkraatSkatteloftKI,0)</f>
        <v>0.11310000000000003</v>
      </c>
      <c r="J14" s="46">
        <f>-I14*C76</f>
        <v>0</v>
      </c>
      <c r="K14" s="4"/>
      <c r="L14" s="4"/>
    </row>
    <row r="15" spans="1:32" s="54" customFormat="1" ht="14" thickBot="1">
      <c r="A15" s="52"/>
      <c r="B15" s="16" t="s">
        <v>31</v>
      </c>
      <c r="C15" s="47">
        <f>VLOOKUP($C$12,Skattesatser!$B$6:$E$103,4)/1000</f>
        <v>1.2699999999999999E-2</v>
      </c>
      <c r="D15" s="55"/>
      <c r="F15" s="48"/>
      <c r="G15" s="5"/>
      <c r="H15" s="4"/>
      <c r="I15" s="56"/>
      <c r="J15" s="30">
        <f>SUM(J10:J14)</f>
        <v>276054.72400000005</v>
      </c>
      <c r="K15" s="4"/>
      <c r="L15" s="9"/>
    </row>
    <row r="16" spans="1:32" s="54" customFormat="1" ht="14" thickBot="1">
      <c r="A16" s="52"/>
      <c r="B16" s="57" t="s">
        <v>32</v>
      </c>
      <c r="C16" s="11">
        <v>0</v>
      </c>
      <c r="D16" s="53"/>
      <c r="F16" s="45"/>
      <c r="G16" s="58"/>
      <c r="H16" s="4"/>
      <c r="I16" s="56"/>
      <c r="J16" s="59"/>
      <c r="K16" s="4"/>
      <c r="L16" s="58"/>
      <c r="AF16" s="5"/>
    </row>
    <row r="17" spans="1:32" s="54" customFormat="1">
      <c r="A17" s="52"/>
      <c r="B17" s="48" t="s">
        <v>33</v>
      </c>
      <c r="C17" s="17">
        <v>0</v>
      </c>
      <c r="D17" s="53"/>
      <c r="F17" s="60"/>
      <c r="G17" s="61"/>
      <c r="H17" s="61"/>
      <c r="I17" s="62"/>
      <c r="J17" s="25"/>
      <c r="L17" s="9"/>
      <c r="AF17" s="5"/>
    </row>
    <row r="18" spans="1:32" s="54" customFormat="1" ht="14" thickBot="1">
      <c r="A18" s="52"/>
      <c r="B18" s="63" t="s">
        <v>34</v>
      </c>
      <c r="C18" s="64">
        <v>0</v>
      </c>
      <c r="D18" s="53"/>
      <c r="F18" s="45" t="s">
        <v>35</v>
      </c>
      <c r="I18" s="65"/>
      <c r="J18" s="30">
        <f>J15+C27</f>
        <v>352854.72400000005</v>
      </c>
      <c r="L18" s="9"/>
      <c r="AF18" s="5"/>
    </row>
    <row r="19" spans="1:32" s="67" customFormat="1" ht="15" thickBot="1">
      <c r="A19" s="66"/>
      <c r="D19" s="68"/>
      <c r="F19" s="69" t="s">
        <v>36</v>
      </c>
      <c r="I19" s="70"/>
      <c r="J19" s="30">
        <f>+F63</f>
        <v>0</v>
      </c>
      <c r="K19" s="54"/>
      <c r="L19" s="9"/>
      <c r="AF19" s="5"/>
    </row>
    <row r="20" spans="1:32" s="67" customFormat="1">
      <c r="A20" s="66"/>
      <c r="B20" s="71" t="s">
        <v>37</v>
      </c>
      <c r="C20" s="72">
        <f>12*80000</f>
        <v>960000</v>
      </c>
      <c r="D20" s="73"/>
      <c r="E20" s="74"/>
      <c r="F20" s="45" t="s">
        <v>38</v>
      </c>
      <c r="I20" s="70"/>
      <c r="J20" s="30">
        <f>F64</f>
        <v>0</v>
      </c>
      <c r="L20" s="9"/>
      <c r="AB20" s="5"/>
      <c r="AC20" s="5"/>
      <c r="AD20" s="5"/>
      <c r="AE20" s="5"/>
      <c r="AF20" s="5"/>
    </row>
    <row r="21" spans="1:32" s="67" customFormat="1">
      <c r="A21" s="66"/>
      <c r="B21" s="45" t="s">
        <v>39</v>
      </c>
      <c r="C21" s="75">
        <v>0</v>
      </c>
      <c r="D21" s="4"/>
      <c r="E21" s="74"/>
      <c r="F21" s="45" t="s">
        <v>40</v>
      </c>
      <c r="I21" s="70"/>
      <c r="J21" s="30">
        <f>-C18</f>
        <v>0</v>
      </c>
      <c r="L21" s="9"/>
      <c r="AB21" s="5"/>
      <c r="AC21" s="5"/>
      <c r="AD21" s="5"/>
      <c r="AE21" s="5"/>
      <c r="AF21" s="5"/>
    </row>
    <row r="22" spans="1:32" ht="14" thickBot="1">
      <c r="B22" s="45" t="s">
        <v>41</v>
      </c>
      <c r="C22" s="76">
        <f>C21*C20</f>
        <v>0</v>
      </c>
      <c r="D22" s="12"/>
      <c r="F22" s="45"/>
      <c r="G22" s="67"/>
      <c r="H22" s="67"/>
      <c r="I22" s="70"/>
      <c r="J22" s="30"/>
      <c r="K22" s="67"/>
      <c r="L22" s="9"/>
    </row>
    <row r="23" spans="1:32" ht="17" thickBot="1">
      <c r="B23" s="45" t="s">
        <v>42</v>
      </c>
      <c r="C23" s="77">
        <v>0</v>
      </c>
      <c r="F23" s="78" t="s">
        <v>43</v>
      </c>
      <c r="G23" s="79"/>
      <c r="H23" s="79"/>
      <c r="I23" s="80"/>
      <c r="J23" s="81">
        <f>SUM(J18:J21)</f>
        <v>352854.72400000005</v>
      </c>
      <c r="L23" s="82"/>
      <c r="M23" s="4"/>
    </row>
    <row r="24" spans="1:32" ht="14" thickBot="1">
      <c r="B24" s="83" t="s">
        <v>44</v>
      </c>
      <c r="C24" s="84">
        <f>IF(C6="ja",FriTelefon,0)</f>
        <v>0</v>
      </c>
    </row>
    <row r="25" spans="1:32" s="67" customFormat="1" ht="15" thickBot="1">
      <c r="A25" s="85"/>
      <c r="B25" s="86" t="s">
        <v>45</v>
      </c>
      <c r="C25" s="87">
        <f>C20-C22+C23+C24</f>
        <v>960000</v>
      </c>
      <c r="D25" s="68"/>
      <c r="E25" s="74"/>
      <c r="F25" s="4"/>
      <c r="G25" s="4"/>
      <c r="H25" s="4"/>
      <c r="I25" s="5"/>
      <c r="J25" s="5"/>
      <c r="K25" s="5"/>
      <c r="L25" s="5"/>
      <c r="AA25" s="5"/>
      <c r="AB25" s="5"/>
      <c r="AC25" s="5"/>
      <c r="AD25" s="5"/>
      <c r="AE25" s="5"/>
    </row>
    <row r="26" spans="1:32" ht="15.75" customHeight="1" thickTop="1">
      <c r="A26" s="52"/>
      <c r="B26" s="88"/>
      <c r="C26" s="89"/>
      <c r="D26" s="5"/>
      <c r="F26" s="248" t="s">
        <v>46</v>
      </c>
      <c r="G26" s="249"/>
      <c r="H26" s="250"/>
      <c r="I26" s="254" t="str">
        <f>C2</f>
        <v>Person</v>
      </c>
      <c r="J26" s="255"/>
    </row>
    <row r="27" spans="1:32" ht="14" thickBot="1">
      <c r="A27" s="52"/>
      <c r="B27" s="88" t="s">
        <v>47</v>
      </c>
      <c r="C27" s="90">
        <f>ArbBidrag*C25</f>
        <v>76800</v>
      </c>
      <c r="D27" s="12"/>
      <c r="F27" s="251"/>
      <c r="G27" s="252"/>
      <c r="H27" s="253"/>
      <c r="I27" s="91" t="s">
        <v>48</v>
      </c>
      <c r="J27" s="92" t="s">
        <v>49</v>
      </c>
      <c r="K27" s="93"/>
      <c r="L27" s="94"/>
    </row>
    <row r="28" spans="1:32" ht="16">
      <c r="A28" s="52"/>
      <c r="B28" s="45" t="s">
        <v>50</v>
      </c>
      <c r="C28" s="17">
        <v>0</v>
      </c>
      <c r="D28" s="12"/>
      <c r="F28" s="95" t="s">
        <v>51</v>
      </c>
      <c r="G28" s="96"/>
      <c r="H28" s="97"/>
      <c r="I28" s="24">
        <f>C20+C23+C28</f>
        <v>960000</v>
      </c>
      <c r="J28" s="97">
        <f>I28/12</f>
        <v>80000</v>
      </c>
      <c r="K28" s="4"/>
      <c r="L28" s="4"/>
    </row>
    <row r="29" spans="1:32" ht="16">
      <c r="A29" s="52"/>
      <c r="B29" s="45" t="s">
        <v>52</v>
      </c>
      <c r="C29" s="90">
        <f>IF(C3&gt;RatepensionMax,RatepensionMax,C3)</f>
        <v>65500</v>
      </c>
      <c r="D29" s="68"/>
      <c r="F29" s="98" t="s">
        <v>53</v>
      </c>
      <c r="H29" s="59"/>
      <c r="I29" s="29">
        <f>C22</f>
        <v>0</v>
      </c>
      <c r="J29" s="59">
        <f>I29/12</f>
        <v>0</v>
      </c>
      <c r="K29" s="4"/>
      <c r="L29" s="4"/>
    </row>
    <row r="30" spans="1:32" ht="17" thickBot="1">
      <c r="A30" s="52"/>
      <c r="B30" s="45" t="s">
        <v>54</v>
      </c>
      <c r="C30" s="90">
        <f>+C4</f>
        <v>60300</v>
      </c>
      <c r="D30" s="99"/>
      <c r="F30" s="98" t="s">
        <v>55</v>
      </c>
      <c r="H30" s="59"/>
      <c r="I30" s="29">
        <f>J23</f>
        <v>352854.72400000005</v>
      </c>
      <c r="J30" s="59">
        <f>I30/12</f>
        <v>29404.560333333338</v>
      </c>
      <c r="K30" s="100"/>
      <c r="L30" s="4"/>
    </row>
    <row r="31" spans="1:32" ht="17" thickBot="1">
      <c r="A31" s="52"/>
      <c r="B31" s="86" t="s">
        <v>56</v>
      </c>
      <c r="C31" s="101">
        <f>C25-C27+C28-C29-C30</f>
        <v>757400</v>
      </c>
      <c r="F31" s="102" t="s">
        <v>46</v>
      </c>
      <c r="G31" s="79"/>
      <c r="H31" s="103"/>
      <c r="I31" s="104">
        <f>I28-I29-I30</f>
        <v>607145.27599999995</v>
      </c>
      <c r="J31" s="105">
        <f>I31/12</f>
        <v>50595.439666666665</v>
      </c>
      <c r="K31" s="106"/>
      <c r="L31" s="106"/>
      <c r="Z31" s="4"/>
    </row>
    <row r="32" spans="1:32" ht="14" thickTop="1">
      <c r="A32" s="52"/>
      <c r="B32" s="45"/>
      <c r="C32" s="16"/>
      <c r="Z32" s="4"/>
    </row>
    <row r="33" spans="1:27">
      <c r="B33" s="45" t="s">
        <v>57</v>
      </c>
      <c r="C33" s="17">
        <v>0</v>
      </c>
      <c r="H33" s="107"/>
    </row>
    <row r="34" spans="1:27" ht="14" thickBot="1">
      <c r="B34" s="108" t="s">
        <v>58</v>
      </c>
      <c r="C34" s="17">
        <v>0</v>
      </c>
      <c r="D34" s="12"/>
    </row>
    <row r="35" spans="1:27" ht="15" thickBot="1">
      <c r="B35" s="86" t="s">
        <v>59</v>
      </c>
      <c r="C35" s="101">
        <f>+C33-C34</f>
        <v>0</v>
      </c>
      <c r="D35" s="68"/>
    </row>
    <row r="36" spans="1:27" ht="14" thickTop="1">
      <c r="B36" s="88"/>
      <c r="C36" s="109"/>
      <c r="D36" s="9"/>
    </row>
    <row r="37" spans="1:27" s="67" customFormat="1" ht="16">
      <c r="A37" s="66"/>
      <c r="B37" s="69" t="s">
        <v>60</v>
      </c>
      <c r="C37" s="90">
        <f>MIN(+($C$25+$C$22*3)*BFradragProc,BFradragMax)</f>
        <v>55600</v>
      </c>
      <c r="D37" s="110"/>
      <c r="E37" s="111"/>
      <c r="F37" s="111"/>
      <c r="H37" s="11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>
      <c r="B38" s="69" t="s">
        <v>61</v>
      </c>
      <c r="C38" s="90">
        <f>MAX(0,MIN(+($C$25+$C$22*3-Jfradraggranse)*Jfradragproc,JfradragMax))</f>
        <v>2900</v>
      </c>
      <c r="D38" s="5"/>
    </row>
    <row r="39" spans="1:27" ht="14.25" customHeight="1">
      <c r="B39" s="69" t="s">
        <v>62</v>
      </c>
      <c r="C39" s="90">
        <f>IF(C5&lt;=52,MIN(+(C3+C4+C22*3)*EPENfradragProc,EPENfradragMax),MIN(+(C3+C4+C22*3)*EPENSeniorProc,EPENSeniorMax))</f>
        <v>26816</v>
      </c>
    </row>
    <row r="40" spans="1:27">
      <c r="B40" s="69" t="s">
        <v>63</v>
      </c>
      <c r="C40" s="90">
        <f>IF(C7&gt;FagforeningMax,FagforeningMax,C7)+C8</f>
        <v>0</v>
      </c>
    </row>
    <row r="41" spans="1:27">
      <c r="B41" s="69" t="s">
        <v>64</v>
      </c>
      <c r="C41" s="90">
        <f>+$H$56</f>
        <v>0</v>
      </c>
    </row>
    <row r="42" spans="1:27" ht="14" thickBot="1">
      <c r="B42" s="69" t="s">
        <v>65</v>
      </c>
      <c r="C42" s="17">
        <v>0</v>
      </c>
    </row>
    <row r="43" spans="1:27" ht="15" thickBot="1">
      <c r="B43" s="86" t="s">
        <v>66</v>
      </c>
      <c r="C43" s="101">
        <f>SUM(C37:C42)</f>
        <v>85316</v>
      </c>
    </row>
    <row r="44" spans="1:27" ht="15" thickTop="1" thickBot="1">
      <c r="B44" s="112"/>
      <c r="C44" s="113"/>
    </row>
    <row r="45" spans="1:27" ht="17" thickBot="1">
      <c r="B45" s="114" t="s">
        <v>67</v>
      </c>
      <c r="C45" s="115">
        <f>+C31+C35-C43</f>
        <v>672084</v>
      </c>
    </row>
    <row r="49" spans="1:40" ht="14" thickBot="1"/>
    <row r="50" spans="1:40" ht="14" thickBot="1">
      <c r="B50" s="116" t="s">
        <v>68</v>
      </c>
      <c r="D50" s="117"/>
    </row>
    <row r="51" spans="1:40" ht="14" thickBot="1">
      <c r="D51" s="117"/>
    </row>
    <row r="52" spans="1:40" ht="14" thickBot="1">
      <c r="B52" s="118" t="s">
        <v>69</v>
      </c>
      <c r="D52" s="117"/>
    </row>
    <row r="53" spans="1:40">
      <c r="B53" s="13"/>
      <c r="C53" s="119" t="s">
        <v>70</v>
      </c>
      <c r="D53" s="119" t="s">
        <v>71</v>
      </c>
      <c r="E53" s="120" t="s">
        <v>72</v>
      </c>
      <c r="F53" s="121" t="s">
        <v>73</v>
      </c>
      <c r="G53" s="121" t="s">
        <v>74</v>
      </c>
      <c r="H53" s="122" t="s">
        <v>75</v>
      </c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4"/>
      <c r="AA53" s="4" t="s">
        <v>76</v>
      </c>
    </row>
    <row r="54" spans="1:40">
      <c r="B54" s="123" t="s">
        <v>77</v>
      </c>
      <c r="C54" s="124">
        <f>BeFradragHojSats</f>
        <v>2.23</v>
      </c>
      <c r="D54" s="125">
        <f>C10</f>
        <v>0</v>
      </c>
      <c r="E54" s="126">
        <f>C9</f>
        <v>0</v>
      </c>
      <c r="F54" s="125">
        <f>BeFradragKmMin</f>
        <v>24</v>
      </c>
      <c r="G54" s="127">
        <f>IF(E54&gt;F54,MIN(E54,BeFradragKmMax)-F54,0)</f>
        <v>0</v>
      </c>
      <c r="H54" s="128">
        <f>+(D54*G54)*C54</f>
        <v>0</v>
      </c>
      <c r="I54" s="4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4"/>
    </row>
    <row r="55" spans="1:40">
      <c r="B55" s="123" t="s">
        <v>78</v>
      </c>
      <c r="C55" s="124">
        <f>BeFradragLavSats</f>
        <v>1.1200000000000001</v>
      </c>
      <c r="D55" s="125">
        <f>C10</f>
        <v>0</v>
      </c>
      <c r="E55" s="126">
        <f>MAX(E54-BeFradragKmMax,0)</f>
        <v>0</v>
      </c>
      <c r="F55" s="125"/>
      <c r="G55" s="127">
        <f>MAX(E55,0)</f>
        <v>0</v>
      </c>
      <c r="H55" s="128">
        <f>+(D55*G55)*C55</f>
        <v>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>
      <c r="B56" s="129" t="s">
        <v>79</v>
      </c>
      <c r="C56" s="124"/>
      <c r="D56" s="130"/>
      <c r="E56" s="130"/>
      <c r="F56" s="125"/>
      <c r="G56" s="130"/>
      <c r="H56" s="128">
        <f>SUM(H54:H55)</f>
        <v>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>
      <c r="B57" s="123"/>
      <c r="C57" s="124"/>
      <c r="D57" s="130"/>
      <c r="E57" s="130"/>
      <c r="F57" s="125"/>
      <c r="G57" s="130"/>
      <c r="H57" s="128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1:40">
      <c r="B58" s="129" t="s">
        <v>80</v>
      </c>
      <c r="C58" s="124"/>
      <c r="D58" s="130"/>
      <c r="E58" s="130"/>
      <c r="F58" s="125"/>
      <c r="G58" s="130"/>
      <c r="H58" s="128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s="137" customFormat="1" ht="17" thickBot="1">
      <c r="A59" s="131"/>
      <c r="B59" s="132"/>
      <c r="C59" s="133"/>
      <c r="D59" s="134"/>
      <c r="E59" s="134"/>
      <c r="F59" s="135"/>
      <c r="G59" s="134"/>
      <c r="H59" s="136"/>
      <c r="I59" s="5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</row>
    <row r="60" spans="1:40" s="137" customFormat="1" ht="16">
      <c r="A60" s="131"/>
      <c r="B60" s="5"/>
      <c r="C60" s="139"/>
      <c r="D60" s="140"/>
      <c r="E60" s="4"/>
      <c r="F60" s="140"/>
      <c r="G60" s="4"/>
      <c r="H60" s="4"/>
      <c r="I60" s="5"/>
      <c r="J60" s="82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</row>
    <row r="61" spans="1:40" ht="14" thickBot="1">
      <c r="C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1:40">
      <c r="B62" s="141" t="s">
        <v>81</v>
      </c>
      <c r="C62" s="142" t="s">
        <v>82</v>
      </c>
      <c r="D62" s="142" t="s">
        <v>83</v>
      </c>
      <c r="E62" s="142" t="s">
        <v>84</v>
      </c>
      <c r="F62" s="143" t="s">
        <v>85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1:40">
      <c r="B63" s="123" t="s">
        <v>36</v>
      </c>
      <c r="C63" s="144">
        <f>EjVSkatMin</f>
        <v>5.1000000000000004E-3</v>
      </c>
      <c r="D63" s="144">
        <f>EjVSkatMax-C63</f>
        <v>8.8999999999999999E-3</v>
      </c>
      <c r="E63" s="145">
        <f>C16</f>
        <v>0</v>
      </c>
      <c r="F63" s="146">
        <f>IF(E63&lt;Skattesatser!H14,C63*E63*Forsigtighed,C63*E63*Forsigtighed+(E63-Skattesatser!H14)*D63*Forsigtighed)</f>
        <v>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1:40" ht="14" thickBot="1">
      <c r="B64" s="147" t="s">
        <v>38</v>
      </c>
      <c r="C64" s="148">
        <f>C15</f>
        <v>1.2699999999999999E-2</v>
      </c>
      <c r="D64" s="148"/>
      <c r="E64" s="149">
        <f>C17</f>
        <v>0</v>
      </c>
      <c r="F64" s="150">
        <f>E64*C64*Forsigtighed</f>
        <v>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1:40">
      <c r="C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spans="1:40" ht="14" thickBot="1">
      <c r="C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 ht="14" thickBot="1">
      <c r="B67" s="151" t="s">
        <v>86</v>
      </c>
      <c r="C67" s="118" t="s">
        <v>87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1:40">
      <c r="B68" s="152" t="s">
        <v>88</v>
      </c>
      <c r="C68" s="153">
        <f>+C31</f>
        <v>757400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>
      <c r="B69" s="154" t="s">
        <v>89</v>
      </c>
      <c r="C69" s="155">
        <f>MAX(C35+C31,C31)</f>
        <v>757400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1:40">
      <c r="B70" s="154" t="s">
        <v>90</v>
      </c>
      <c r="C70" s="155">
        <f>C68+C72</f>
        <v>757400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0">
      <c r="B71" s="154" t="s">
        <v>91</v>
      </c>
      <c r="C71" s="155">
        <f>MAX(C35,0)</f>
        <v>0</v>
      </c>
      <c r="I71" s="156"/>
    </row>
    <row r="72" spans="1:40">
      <c r="B72" s="154" t="s">
        <v>92</v>
      </c>
      <c r="C72" s="155">
        <f>IF((C71+D71)&gt;KItilTopskatEnlig,C71+D71-KItilTopskatEnlig,0)</f>
        <v>0</v>
      </c>
    </row>
    <row r="73" spans="1:40">
      <c r="B73" s="123" t="s">
        <v>93</v>
      </c>
      <c r="C73" s="157">
        <f>SUM(G5:G8)</f>
        <v>0.53310000000000002</v>
      </c>
    </row>
    <row r="74" spans="1:40" s="4" customFormat="1">
      <c r="A74" s="1"/>
      <c r="B74" s="154" t="s">
        <v>94</v>
      </c>
      <c r="C74" s="155">
        <f>IF(C70&gt;TopSkatGranse,C70-TopSkatGranse,0)</f>
        <v>145600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40" s="4" customFormat="1">
      <c r="A75" s="1"/>
      <c r="B75" s="158" t="s">
        <v>95</v>
      </c>
      <c r="C75" s="155">
        <f>IF(C68&gt;TopSkatGranse,C68-TopSkatGranse,0)</f>
        <v>145600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s="4" customFormat="1" ht="14" thickBot="1">
      <c r="A76" s="1"/>
      <c r="B76" s="159" t="s">
        <v>96</v>
      </c>
      <c r="C76" s="160">
        <f>C74-C75</f>
        <v>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102" spans="1:40" s="4" customFormat="1">
      <c r="A102" s="1"/>
      <c r="B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s="4" customFormat="1">
      <c r="A103" s="1"/>
      <c r="B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s="4" customFormat="1">
      <c r="A104" s="1"/>
      <c r="B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s="4" customFormat="1">
      <c r="A105" s="1"/>
      <c r="B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s="4" customFormat="1">
      <c r="A106" s="1"/>
      <c r="B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s="4" customFormat="1">
      <c r="A107" s="1"/>
      <c r="B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s="4" customFormat="1">
      <c r="A108" s="1"/>
      <c r="B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s="4" customFormat="1">
      <c r="A109" s="1"/>
      <c r="B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s="4" customFormat="1">
      <c r="A110" s="1"/>
      <c r="B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s="4" customFormat="1">
      <c r="A111" s="1"/>
      <c r="B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s="4" customFormat="1">
      <c r="A112" s="1"/>
      <c r="B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s="4" customFormat="1">
      <c r="A113" s="1"/>
      <c r="B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s="4" customFormat="1">
      <c r="A114" s="1"/>
      <c r="B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s="4" customFormat="1">
      <c r="A115" s="1"/>
      <c r="B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s="4" customFormat="1">
      <c r="A116" s="1"/>
      <c r="B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1:40" s="4" customFormat="1">
      <c r="A117" s="1"/>
      <c r="B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1:40" s="4" customFormat="1">
      <c r="A118" s="1"/>
      <c r="B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s="4" customFormat="1">
      <c r="A119" s="1"/>
      <c r="B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1:40" s="4" customFormat="1">
      <c r="A120" s="1"/>
      <c r="B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1:40" s="4" customFormat="1">
      <c r="A121" s="1"/>
      <c r="B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1:40" s="4" customFormat="1">
      <c r="A122" s="1"/>
      <c r="B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1:40" s="4" customFormat="1">
      <c r="A123" s="1"/>
      <c r="B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1:40" s="4" customFormat="1">
      <c r="A124" s="1"/>
      <c r="B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1:40" s="4" customFormat="1">
      <c r="A125" s="1"/>
      <c r="B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1:40" s="4" customFormat="1">
      <c r="A126" s="1"/>
      <c r="B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1:40" s="4" customFormat="1">
      <c r="A127" s="1"/>
      <c r="B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1:40" s="4" customFormat="1">
      <c r="A128" s="1"/>
      <c r="B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1:40" s="4" customFormat="1">
      <c r="A129" s="1"/>
      <c r="B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1:40" s="4" customFormat="1">
      <c r="A130" s="1"/>
      <c r="B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s="4" customFormat="1">
      <c r="A131" s="1"/>
      <c r="B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1:40" s="4" customFormat="1">
      <c r="A132" s="1"/>
      <c r="B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 s="4" customFormat="1">
      <c r="A133" s="1"/>
      <c r="B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s="4" customFormat="1">
      <c r="A134" s="1"/>
      <c r="B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1:40" s="4" customFormat="1">
      <c r="A135" s="1"/>
      <c r="B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s="4" customFormat="1">
      <c r="A136" s="1"/>
      <c r="B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1:40" s="4" customFormat="1">
      <c r="A137" s="1"/>
      <c r="B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1:40" s="4" customFormat="1">
      <c r="A138" s="1"/>
      <c r="B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s="4" customFormat="1">
      <c r="A139" s="1"/>
      <c r="B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1:40" s="4" customFormat="1">
      <c r="A140" s="1"/>
      <c r="B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1:40" s="4" customFormat="1">
      <c r="A141" s="1"/>
      <c r="B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1:40" s="4" customFormat="1">
      <c r="A142" s="1"/>
      <c r="B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1:40" s="4" customFormat="1">
      <c r="A143" s="1"/>
      <c r="B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1:40" s="4" customFormat="1">
      <c r="A144" s="1"/>
      <c r="B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1:40" s="4" customFormat="1">
      <c r="A145" s="1"/>
      <c r="B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1:40" s="4" customFormat="1">
      <c r="A146" s="1"/>
      <c r="B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1:40" s="4" customFormat="1">
      <c r="A147" s="1"/>
      <c r="B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1:40" s="4" customFormat="1">
      <c r="A148" s="1"/>
      <c r="B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1:40" s="4" customFormat="1">
      <c r="A149" s="1"/>
      <c r="B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1:40" s="4" customFormat="1">
      <c r="A150" s="1"/>
      <c r="B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1:40" s="4" customFormat="1">
      <c r="A151" s="1"/>
      <c r="B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1:40" s="4" customFormat="1">
      <c r="A152" s="1"/>
      <c r="B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1:40" s="4" customFormat="1">
      <c r="A153" s="1"/>
      <c r="B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1:40" s="4" customFormat="1">
      <c r="A154" s="1"/>
      <c r="B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1:40" s="4" customFormat="1">
      <c r="A155" s="1"/>
      <c r="B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1:40" s="4" customFormat="1">
      <c r="A156" s="1"/>
      <c r="B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1:40" s="4" customFormat="1">
      <c r="A157" s="1"/>
      <c r="B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1:40" s="4" customFormat="1">
      <c r="A158" s="1"/>
      <c r="B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1:40" s="4" customFormat="1">
      <c r="A159" s="1"/>
      <c r="B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1:40" s="4" customFormat="1">
      <c r="A160" s="1"/>
      <c r="B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1:40" s="4" customFormat="1">
      <c r="A161" s="1"/>
      <c r="B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1:40" s="4" customFormat="1">
      <c r="A162" s="1"/>
      <c r="B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1:40" s="4" customFormat="1">
      <c r="A163" s="1"/>
      <c r="B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1:40" s="4" customFormat="1">
      <c r="A164" s="1"/>
      <c r="B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1:40" s="4" customFormat="1">
      <c r="A165" s="1"/>
      <c r="B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1:40" s="4" customFormat="1">
      <c r="A166" s="1"/>
      <c r="B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1:40" s="4" customFormat="1">
      <c r="A167" s="1"/>
      <c r="B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1:40" s="4" customFormat="1">
      <c r="A168" s="1"/>
      <c r="B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1:40" s="4" customFormat="1">
      <c r="A169" s="1"/>
      <c r="B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1:40" s="4" customFormat="1">
      <c r="A170" s="1"/>
      <c r="B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 s="4" customFormat="1">
      <c r="A171" s="1"/>
      <c r="B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 s="4" customFormat="1">
      <c r="A172" s="1"/>
      <c r="B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 s="4" customFormat="1">
      <c r="A173" s="1"/>
      <c r="B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 s="4" customFormat="1">
      <c r="A174" s="1"/>
      <c r="B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 s="4" customFormat="1">
      <c r="A175" s="1"/>
      <c r="B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 s="4" customFormat="1">
      <c r="A176" s="1"/>
      <c r="B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1:40" s="4" customFormat="1">
      <c r="A177" s="1"/>
      <c r="B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1:40" s="4" customFormat="1">
      <c r="A178" s="1"/>
      <c r="B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1:40" s="4" customFormat="1">
      <c r="A179" s="1"/>
      <c r="B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1:40" s="4" customFormat="1">
      <c r="A180" s="1"/>
      <c r="B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1:40" s="4" customFormat="1">
      <c r="A181" s="1"/>
      <c r="B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1:40" s="4" customFormat="1">
      <c r="A182" s="1"/>
      <c r="B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1:40" s="4" customFormat="1">
      <c r="A183" s="1"/>
      <c r="B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1:40" s="4" customFormat="1">
      <c r="A184" s="1"/>
      <c r="B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1:40" s="4" customFormat="1">
      <c r="A185" s="1"/>
      <c r="B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1:40" s="4" customFormat="1">
      <c r="A186" s="1"/>
      <c r="B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1:40" s="4" customFormat="1">
      <c r="A187" s="1"/>
      <c r="B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1:40" s="4" customFormat="1">
      <c r="A188" s="1"/>
      <c r="B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1:40" s="4" customFormat="1">
      <c r="A189" s="1"/>
      <c r="B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1:40" s="4" customFormat="1">
      <c r="A190" s="1"/>
      <c r="B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1:40" s="4" customFormat="1">
      <c r="A191" s="1"/>
      <c r="B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1:40" s="4" customFormat="1">
      <c r="A192" s="1"/>
      <c r="B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1:40" s="4" customFormat="1">
      <c r="A193" s="1"/>
      <c r="B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1:40" s="4" customFormat="1">
      <c r="A194" s="1"/>
      <c r="B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1:40" s="4" customFormat="1">
      <c r="A195" s="1"/>
      <c r="B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1:40" s="4" customFormat="1">
      <c r="A196" s="1"/>
      <c r="B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1:40" s="4" customFormat="1">
      <c r="A197" s="1"/>
      <c r="B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1:40" s="4" customFormat="1">
      <c r="A198" s="1"/>
      <c r="B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1:40" s="4" customFormat="1">
      <c r="A199" s="1"/>
      <c r="B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1:40" s="4" customFormat="1">
      <c r="A200" s="1"/>
      <c r="B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1:40" s="4" customFormat="1">
      <c r="A201" s="1"/>
      <c r="B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1:40" s="4" customFormat="1">
      <c r="A202" s="1"/>
      <c r="B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1:40" s="4" customFormat="1">
      <c r="A203" s="1"/>
      <c r="B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1:40" s="4" customFormat="1">
      <c r="A204" s="1"/>
      <c r="B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1:40" s="4" customFormat="1">
      <c r="A205" s="1"/>
      <c r="B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1:40" s="4" customFormat="1">
      <c r="A206" s="1"/>
      <c r="B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1:40" s="4" customFormat="1">
      <c r="A207" s="1"/>
      <c r="B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1:40" s="4" customFormat="1">
      <c r="A208" s="1"/>
      <c r="B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1:40" s="4" customFormat="1">
      <c r="A209" s="1"/>
      <c r="B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1:40" s="4" customFormat="1">
      <c r="A210" s="1"/>
      <c r="B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1:40" s="4" customFormat="1">
      <c r="A211" s="1"/>
      <c r="B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1:40" s="4" customFormat="1">
      <c r="A212" s="1"/>
      <c r="B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1:40" s="4" customFormat="1">
      <c r="A213" s="1"/>
      <c r="B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1:40" s="4" customFormat="1">
      <c r="A214" s="1"/>
      <c r="B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1:40" s="4" customFormat="1">
      <c r="A215" s="1"/>
      <c r="B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1:40" s="4" customFormat="1">
      <c r="A216" s="1"/>
      <c r="B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1:40" s="4" customFormat="1">
      <c r="A217" s="1"/>
      <c r="B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1:40" s="4" customFormat="1">
      <c r="A218" s="1"/>
      <c r="B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1:40" s="4" customFormat="1">
      <c r="A219" s="1"/>
      <c r="B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1:40" s="4" customFormat="1">
      <c r="A220" s="1"/>
      <c r="B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1:40" s="4" customFormat="1">
      <c r="A221" s="1"/>
      <c r="B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1:40" s="4" customFormat="1">
      <c r="A222" s="1"/>
      <c r="B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1:40" s="4" customFormat="1">
      <c r="A223" s="1"/>
      <c r="B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1:40" s="4" customFormat="1">
      <c r="A224" s="1"/>
      <c r="B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1:40" s="4" customFormat="1">
      <c r="A225" s="1"/>
      <c r="B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1:40" s="4" customFormat="1">
      <c r="A226" s="1"/>
      <c r="B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1:40" s="4" customFormat="1">
      <c r="A227" s="1"/>
      <c r="B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1:40" s="4" customFormat="1">
      <c r="A228" s="1"/>
      <c r="B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1:40" s="4" customFormat="1">
      <c r="A229" s="1"/>
      <c r="B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1:40" s="4" customFormat="1">
      <c r="A230" s="1"/>
      <c r="B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1:40" s="4" customFormat="1">
      <c r="A231" s="1"/>
      <c r="B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1:40" s="4" customFormat="1">
      <c r="A232" s="1"/>
      <c r="B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1:40" s="4" customFormat="1">
      <c r="A233" s="1"/>
      <c r="B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1:40" s="4" customFormat="1">
      <c r="A234" s="1"/>
      <c r="B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1:40" s="4" customFormat="1">
      <c r="A235" s="1"/>
      <c r="B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1:40" s="4" customFormat="1">
      <c r="A236" s="1"/>
      <c r="B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1:40" s="4" customFormat="1">
      <c r="A237" s="1"/>
      <c r="B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1:40" s="4" customFormat="1">
      <c r="A238" s="1"/>
      <c r="B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1:40" s="4" customFormat="1">
      <c r="A239" s="1"/>
      <c r="B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1:40" s="4" customFormat="1">
      <c r="A240" s="1"/>
      <c r="B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1:40" s="4" customFormat="1">
      <c r="A241" s="1"/>
      <c r="B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1:40" s="4" customFormat="1">
      <c r="A242" s="1"/>
      <c r="B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1:40" s="4" customFormat="1">
      <c r="A243" s="1"/>
      <c r="B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1:40" s="4" customFormat="1">
      <c r="A244" s="1"/>
      <c r="B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1:40" s="4" customFormat="1">
      <c r="A245" s="1"/>
      <c r="B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1:40" s="4" customFormat="1">
      <c r="A246" s="1"/>
      <c r="B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1:40" s="4" customFormat="1">
      <c r="A247" s="1"/>
      <c r="B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1:40" s="4" customFormat="1">
      <c r="A248" s="1"/>
      <c r="B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1:40" s="4" customFormat="1">
      <c r="A249" s="1"/>
      <c r="B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1:40" s="4" customFormat="1">
      <c r="A250" s="1"/>
      <c r="B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1:40" s="4" customFormat="1">
      <c r="A251" s="1"/>
      <c r="B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1:40" s="4" customFormat="1">
      <c r="A252" s="1"/>
      <c r="B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1:40" s="4" customFormat="1">
      <c r="A253" s="1"/>
      <c r="B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1:40" s="4" customFormat="1">
      <c r="A254" s="1"/>
      <c r="B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1:40" s="4" customFormat="1">
      <c r="A255" s="1"/>
      <c r="B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1:40" s="4" customFormat="1">
      <c r="A256" s="1"/>
      <c r="B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1:40" s="4" customFormat="1">
      <c r="A257" s="1"/>
      <c r="B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1:40" s="4" customFormat="1">
      <c r="A258" s="1"/>
      <c r="B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1:40" s="4" customFormat="1">
      <c r="A259" s="1"/>
      <c r="B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1:40" s="4" customFormat="1">
      <c r="A260" s="1"/>
      <c r="B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1:40" s="4" customFormat="1">
      <c r="A261" s="1"/>
      <c r="B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1:40" s="4" customFormat="1">
      <c r="A262" s="1"/>
      <c r="B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1:40" s="4" customFormat="1">
      <c r="A263" s="1"/>
      <c r="B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1:40" s="4" customFormat="1">
      <c r="A264" s="1"/>
      <c r="B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1:40" s="4" customFormat="1">
      <c r="A265" s="1"/>
      <c r="B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1:40" s="4" customFormat="1">
      <c r="A266" s="1"/>
      <c r="B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1:40" s="4" customFormat="1">
      <c r="A267" s="1"/>
      <c r="B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1:40" s="4" customFormat="1">
      <c r="A268" s="1"/>
      <c r="B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1:40" s="4" customFormat="1">
      <c r="A269" s="1"/>
      <c r="B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1:40" s="4" customFormat="1">
      <c r="A270" s="1"/>
      <c r="B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1:40" s="4" customFormat="1">
      <c r="A271" s="1"/>
      <c r="B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1:40" s="4" customFormat="1">
      <c r="A272" s="1"/>
      <c r="B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1:40" s="4" customFormat="1">
      <c r="A273" s="1"/>
      <c r="B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1:40" s="4" customFormat="1">
      <c r="A274" s="1"/>
      <c r="B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1:40" s="4" customFormat="1">
      <c r="A275" s="1"/>
      <c r="B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1:40" s="4" customFormat="1">
      <c r="A276" s="1"/>
      <c r="B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1:40" s="4" customFormat="1">
      <c r="A277" s="1"/>
      <c r="B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1:40" s="4" customFormat="1">
      <c r="A278" s="1"/>
      <c r="B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1:40" s="4" customFormat="1">
      <c r="A279" s="1"/>
      <c r="B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1:40" s="4" customFormat="1">
      <c r="A280" s="1"/>
      <c r="B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1:40" s="4" customFormat="1">
      <c r="A281" s="1"/>
      <c r="B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1:40" s="4" customFormat="1">
      <c r="A282" s="1"/>
      <c r="B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1:40" s="4" customFormat="1">
      <c r="A283" s="1"/>
      <c r="B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1:40" s="4" customFormat="1">
      <c r="A284" s="1"/>
      <c r="B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1:40" s="4" customFormat="1">
      <c r="A285" s="1"/>
      <c r="B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1:40" s="4" customFormat="1">
      <c r="A286" s="1"/>
      <c r="B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1:40" s="4" customFormat="1">
      <c r="A287" s="1"/>
      <c r="B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1:40" s="4" customFormat="1">
      <c r="A288" s="1"/>
      <c r="B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1:40" s="4" customFormat="1">
      <c r="A289" s="1"/>
      <c r="B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1:40" s="4" customFormat="1">
      <c r="A290" s="1"/>
      <c r="B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1:40" s="4" customFormat="1">
      <c r="A291" s="1"/>
      <c r="B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1:40" s="4" customFormat="1">
      <c r="A292" s="1"/>
      <c r="B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1:40" s="4" customFormat="1">
      <c r="A293" s="1"/>
      <c r="B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1:40" s="4" customFormat="1">
      <c r="A294" s="1"/>
      <c r="B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1:40" s="4" customFormat="1">
      <c r="A295" s="1"/>
      <c r="B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1:40" s="4" customFormat="1">
      <c r="A296" s="1"/>
      <c r="B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1:40" s="4" customFormat="1">
      <c r="A297" s="1"/>
      <c r="B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1:40" s="4" customFormat="1">
      <c r="A298" s="1"/>
      <c r="B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1:40" s="4" customFormat="1">
      <c r="A299" s="1"/>
      <c r="B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1:40" s="4" customFormat="1">
      <c r="A300" s="1"/>
      <c r="B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1:40" s="4" customFormat="1">
      <c r="A301" s="1"/>
      <c r="B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1:40" s="4" customFormat="1">
      <c r="A302" s="1"/>
      <c r="B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1:40" s="4" customFormat="1">
      <c r="A303" s="1"/>
      <c r="B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1:40" s="4" customFormat="1">
      <c r="A304" s="1"/>
      <c r="B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1:40" s="4" customFormat="1">
      <c r="A305" s="1"/>
      <c r="B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1:40" s="4" customFormat="1">
      <c r="A306" s="1"/>
      <c r="B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1:40" s="4" customFormat="1">
      <c r="A307" s="1"/>
      <c r="B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1:40" s="4" customFormat="1">
      <c r="A308" s="1"/>
      <c r="B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1:40" s="4" customFormat="1">
      <c r="A309" s="1"/>
      <c r="B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1:40" s="4" customFormat="1">
      <c r="A310" s="1"/>
      <c r="B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1:40" s="4" customFormat="1">
      <c r="A311" s="1"/>
      <c r="B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1:40" s="4" customFormat="1">
      <c r="A312" s="1"/>
      <c r="B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1:40" s="4" customFormat="1">
      <c r="A313" s="1"/>
      <c r="B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1:40" s="4" customFormat="1">
      <c r="A314" s="1"/>
      <c r="B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1:40" s="4" customFormat="1">
      <c r="A315" s="1"/>
      <c r="B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1:40" s="4" customFormat="1">
      <c r="A316" s="1"/>
      <c r="B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1:40" s="4" customFormat="1">
      <c r="A317" s="1"/>
      <c r="B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1:40" s="4" customFormat="1">
      <c r="A318" s="1"/>
      <c r="B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1:40" s="4" customFormat="1">
      <c r="A319" s="1"/>
      <c r="B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1:40" s="4" customFormat="1">
      <c r="A320" s="1"/>
      <c r="B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1:40" s="4" customFormat="1">
      <c r="A321" s="1"/>
      <c r="B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1:40" s="4" customFormat="1">
      <c r="A322" s="1"/>
      <c r="B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1:40" s="4" customFormat="1">
      <c r="A323" s="1"/>
      <c r="B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1:40" s="4" customFormat="1">
      <c r="A324" s="1"/>
      <c r="B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1:40" s="4" customFormat="1">
      <c r="A325" s="1"/>
      <c r="B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1:40" s="4" customFormat="1">
      <c r="A326" s="1"/>
      <c r="B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1:40" s="4" customFormat="1">
      <c r="A327" s="1"/>
      <c r="B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1:40" s="4" customFormat="1">
      <c r="A328" s="1"/>
      <c r="B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1:40" s="4" customFormat="1">
      <c r="A329" s="1"/>
      <c r="B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1:40" s="4" customFormat="1">
      <c r="A330" s="1"/>
      <c r="B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1:40" s="4" customFormat="1">
      <c r="A331" s="1"/>
      <c r="B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1:40" s="4" customFormat="1">
      <c r="A332" s="1"/>
      <c r="B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1:40" s="4" customFormat="1">
      <c r="A333" s="1"/>
      <c r="B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1:40" s="4" customFormat="1">
      <c r="A334" s="1"/>
      <c r="B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1:40" s="4" customFormat="1">
      <c r="A335" s="1"/>
      <c r="B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1:40" s="4" customFormat="1">
      <c r="A336" s="1"/>
      <c r="B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1:40" s="4" customFormat="1">
      <c r="A337" s="1"/>
      <c r="B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1:40" s="4" customFormat="1">
      <c r="A338" s="1"/>
      <c r="B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1:40" s="4" customFormat="1">
      <c r="A339" s="1"/>
      <c r="B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1:40" s="4" customFormat="1">
      <c r="A340" s="1"/>
      <c r="B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1:40" s="4" customFormat="1">
      <c r="A341" s="1"/>
      <c r="B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1:40" s="4" customFormat="1">
      <c r="A342" s="1"/>
      <c r="B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1:40" s="4" customFormat="1">
      <c r="A343" s="1"/>
      <c r="B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1:40" s="4" customFormat="1">
      <c r="A344" s="1"/>
      <c r="B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1:40" s="4" customFormat="1">
      <c r="A345" s="1"/>
      <c r="B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1:40" s="4" customFormat="1">
      <c r="A346" s="1"/>
      <c r="B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1:40" s="4" customFormat="1">
      <c r="A347" s="1"/>
      <c r="B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1:40" s="4" customFormat="1">
      <c r="A348" s="1"/>
      <c r="B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1:40" s="4" customFormat="1">
      <c r="A349" s="1"/>
      <c r="B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1:40" s="4" customFormat="1">
      <c r="A350" s="1"/>
      <c r="B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1:40" s="4" customFormat="1">
      <c r="A351" s="1"/>
      <c r="B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1:40" s="4" customFormat="1">
      <c r="A352" s="1"/>
      <c r="B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1:40" s="4" customFormat="1">
      <c r="A353" s="1"/>
      <c r="B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1:40" s="4" customFormat="1">
      <c r="A354" s="1"/>
      <c r="B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1:40" s="4" customFormat="1">
      <c r="A355" s="1"/>
      <c r="B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1:40" s="4" customFormat="1">
      <c r="A356" s="1"/>
      <c r="B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1:40" s="4" customFormat="1">
      <c r="A357" s="1"/>
      <c r="B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1:40" s="4" customFormat="1">
      <c r="A358" s="1"/>
      <c r="B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1:40" s="4" customFormat="1">
      <c r="A359" s="1"/>
      <c r="B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1:40" s="4" customFormat="1">
      <c r="A360" s="1"/>
      <c r="B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1:40" s="4" customFormat="1">
      <c r="A361" s="1"/>
      <c r="B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1:40" s="4" customFormat="1">
      <c r="A362" s="1"/>
      <c r="B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1:40" s="4" customFormat="1">
      <c r="A363" s="1"/>
      <c r="B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1:40" s="4" customFormat="1">
      <c r="A364" s="1"/>
      <c r="B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1:40" s="4" customFormat="1">
      <c r="A365" s="1"/>
      <c r="B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1:40" s="4" customFormat="1">
      <c r="A366" s="1"/>
      <c r="B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1:40" s="4" customFormat="1">
      <c r="A367" s="1"/>
      <c r="B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1:40" s="4" customFormat="1">
      <c r="A368" s="1"/>
      <c r="B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1:40" s="4" customFormat="1">
      <c r="A369" s="1"/>
      <c r="B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1:40" s="4" customFormat="1">
      <c r="A370" s="1"/>
      <c r="B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1:40" s="4" customFormat="1">
      <c r="A371" s="1"/>
      <c r="B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1:40" s="4" customFormat="1">
      <c r="A372" s="1"/>
      <c r="B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1:40" s="4" customFormat="1">
      <c r="A373" s="1"/>
      <c r="B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1:40" s="4" customFormat="1">
      <c r="A374" s="1"/>
      <c r="B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1:40" s="4" customFormat="1">
      <c r="A375" s="1"/>
      <c r="B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1:40" s="4" customFormat="1">
      <c r="A376" s="1"/>
      <c r="B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1:40" s="4" customFormat="1">
      <c r="A377" s="1"/>
      <c r="B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1:40" s="4" customFormat="1">
      <c r="A378" s="1"/>
      <c r="B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1:40" s="4" customFormat="1">
      <c r="A379" s="1"/>
      <c r="B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1:40" s="4" customFormat="1">
      <c r="A380" s="1"/>
      <c r="B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1:40" s="4" customFormat="1">
      <c r="A381" s="1"/>
      <c r="B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1:40" s="4" customFormat="1">
      <c r="A382" s="1"/>
      <c r="B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1:40" s="4" customFormat="1">
      <c r="A383" s="1"/>
      <c r="B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1:40" s="4" customFormat="1">
      <c r="A384" s="1"/>
      <c r="B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1:40" s="4" customFormat="1">
      <c r="A385" s="1"/>
      <c r="B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1:40" s="4" customFormat="1">
      <c r="A386" s="1"/>
      <c r="B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</sheetData>
  <mergeCells count="8">
    <mergeCell ref="F26:H27"/>
    <mergeCell ref="I26:J26"/>
    <mergeCell ref="I2:J2"/>
    <mergeCell ref="K2:L2"/>
    <mergeCell ref="I3:I4"/>
    <mergeCell ref="J3:J4"/>
    <mergeCell ref="K3:K4"/>
    <mergeCell ref="L3:L4"/>
  </mergeCells>
  <pageMargins left="0.74803149606299213" right="0.74803149606299213" top="0.98425196850393704" bottom="0.98425196850393704" header="0" footer="0"/>
  <pageSetup paperSize="9" scale="53" fitToHeight="2" orientation="landscape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82BA9CC-9BA2-504F-A22B-C86A968061B2}">
          <x14:formula1>
            <xm:f>Skattesatser!$B$6:$B$103</xm:f>
          </x14:formula1>
          <xm:sqref>C12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A389-A694-1543-99BE-2F0D0080434D}">
  <dimension ref="B2:AA59"/>
  <sheetViews>
    <sheetView topLeftCell="E1" zoomScale="109" zoomScaleNormal="80" workbookViewId="0">
      <selection activeCell="R7" sqref="R7"/>
    </sheetView>
  </sheetViews>
  <sheetFormatPr baseColWidth="10" defaultColWidth="9.1640625" defaultRowHeight="13"/>
  <cols>
    <col min="1" max="1" width="3.33203125" style="5" customWidth="1"/>
    <col min="2" max="2" width="7.6640625" style="5" customWidth="1"/>
    <col min="3" max="3" width="19.5" style="5" bestFit="1" customWidth="1"/>
    <col min="4" max="4" width="10.33203125" style="5" bestFit="1" customWidth="1"/>
    <col min="5" max="5" width="20.33203125" style="5" customWidth="1"/>
    <col min="6" max="6" width="12" style="5" customWidth="1"/>
    <col min="7" max="7" width="9.1640625" style="5"/>
    <col min="8" max="8" width="12.5" style="5" customWidth="1"/>
    <col min="9" max="9" width="15.83203125" style="5" customWidth="1"/>
    <col min="10" max="10" width="3.1640625" style="5" customWidth="1"/>
    <col min="11" max="11" width="13.33203125" style="5" bestFit="1" customWidth="1"/>
    <col min="12" max="13" width="9.1640625" style="5"/>
    <col min="14" max="14" width="16.6640625" style="5" customWidth="1"/>
    <col min="15" max="15" width="9.1640625" style="5"/>
    <col min="16" max="16" width="19.33203125" style="5" bestFit="1" customWidth="1"/>
    <col min="17" max="17" width="9.1640625" style="5"/>
    <col min="18" max="18" width="15" style="5" bestFit="1" customWidth="1"/>
    <col min="19" max="16384" width="9.1640625" style="5"/>
  </cols>
  <sheetData>
    <row r="2" spans="2:19" ht="13.5" customHeight="1" thickBot="1">
      <c r="C2" s="151" t="s">
        <v>97</v>
      </c>
      <c r="D2" s="184">
        <f>D4/0.8</f>
        <v>0</v>
      </c>
      <c r="E2" s="185">
        <f>D2/12</f>
        <v>0</v>
      </c>
      <c r="F2" s="186" t="s">
        <v>98</v>
      </c>
    </row>
    <row r="3" spans="2:19" ht="14" thickBot="1">
      <c r="B3" s="187" t="s">
        <v>99</v>
      </c>
      <c r="C3" s="188"/>
      <c r="D3" s="189"/>
      <c r="E3" s="189"/>
      <c r="F3" s="190">
        <v>2025</v>
      </c>
      <c r="G3" s="191" t="s">
        <v>100</v>
      </c>
      <c r="H3" s="192"/>
      <c r="I3" s="193"/>
    </row>
    <row r="4" spans="2:19" ht="17" thickBot="1">
      <c r="B4" s="10"/>
      <c r="C4" s="193" t="s">
        <v>101</v>
      </c>
      <c r="D4" s="194">
        <v>0</v>
      </c>
      <c r="E4" s="195" t="s">
        <v>102</v>
      </c>
      <c r="F4" s="194">
        <v>0</v>
      </c>
      <c r="G4" s="191" t="s">
        <v>103</v>
      </c>
      <c r="H4" s="192"/>
      <c r="I4" s="193"/>
    </row>
    <row r="5" spans="2:19" ht="17" thickBot="1">
      <c r="B5" s="16"/>
      <c r="C5" s="193" t="s">
        <v>104</v>
      </c>
      <c r="D5" s="196">
        <v>0</v>
      </c>
      <c r="E5" s="195" t="s">
        <v>105</v>
      </c>
      <c r="F5" s="194">
        <v>15</v>
      </c>
      <c r="H5" s="43" t="s">
        <v>104</v>
      </c>
      <c r="I5" s="197">
        <v>0</v>
      </c>
      <c r="M5" s="5">
        <v>1</v>
      </c>
      <c r="N5" s="5" t="s">
        <v>106</v>
      </c>
    </row>
    <row r="6" spans="2:19" ht="14" thickBot="1">
      <c r="B6" s="16"/>
      <c r="C6" s="198" t="s">
        <v>107</v>
      </c>
      <c r="D6" s="196">
        <v>0</v>
      </c>
      <c r="E6" s="199">
        <f>(1+$D$6/2)^2-1</f>
        <v>0</v>
      </c>
      <c r="F6" s="200"/>
      <c r="H6" s="195" t="s">
        <v>107</v>
      </c>
      <c r="I6" s="201">
        <v>0</v>
      </c>
      <c r="K6" s="5" t="s">
        <v>108</v>
      </c>
      <c r="M6" s="5">
        <v>2</v>
      </c>
      <c r="N6" s="5" t="s">
        <v>109</v>
      </c>
    </row>
    <row r="7" spans="2:19" ht="17" thickBot="1">
      <c r="B7" s="16"/>
      <c r="C7" s="193" t="s">
        <v>110</v>
      </c>
      <c r="D7" s="196">
        <v>0.153</v>
      </c>
      <c r="E7" s="34" t="s">
        <v>111</v>
      </c>
      <c r="F7" s="202">
        <f>FV($D$6*(1-$D$7),$F$5,0,-$F$4)</f>
        <v>0</v>
      </c>
      <c r="G7" s="182"/>
      <c r="H7" s="195" t="s">
        <v>110</v>
      </c>
      <c r="I7" s="196">
        <v>0.153</v>
      </c>
      <c r="K7" s="203">
        <f>460000*0.6+6000000/2*60%</f>
        <v>2076000</v>
      </c>
      <c r="M7" s="5">
        <v>3</v>
      </c>
      <c r="N7" s="5" t="s">
        <v>112</v>
      </c>
    </row>
    <row r="8" spans="2:19" ht="17" thickBot="1">
      <c r="B8" s="43"/>
      <c r="D8" s="204"/>
      <c r="E8" s="40" t="s">
        <v>113</v>
      </c>
      <c r="F8" s="202">
        <f>PV($D$5,$F$5,0,-$F$7)</f>
        <v>0</v>
      </c>
      <c r="G8" s="205" t="s">
        <v>114</v>
      </c>
      <c r="H8" s="206" t="s">
        <v>115</v>
      </c>
      <c r="I8" s="206" t="s">
        <v>116</v>
      </c>
      <c r="K8" s="4">
        <f>K7/20</f>
        <v>103800</v>
      </c>
      <c r="L8" s="5" t="s">
        <v>117</v>
      </c>
    </row>
    <row r="9" spans="2:19" ht="14" thickBot="1">
      <c r="B9" s="207" t="s">
        <v>118</v>
      </c>
      <c r="C9" s="206" t="s">
        <v>119</v>
      </c>
      <c r="D9" s="208" t="s">
        <v>120</v>
      </c>
      <c r="E9" s="209" t="s">
        <v>121</v>
      </c>
      <c r="F9" s="206" t="s">
        <v>122</v>
      </c>
      <c r="G9" s="210">
        <v>0</v>
      </c>
      <c r="H9" s="211"/>
      <c r="I9" s="212">
        <f>VLOOKUP(F5,B3:F59,5,FALSE)+F8</f>
        <v>0</v>
      </c>
      <c r="J9" s="151"/>
      <c r="K9" s="213">
        <f>K8/0.63</f>
        <v>164761.90476190476</v>
      </c>
      <c r="L9" s="5" t="s">
        <v>123</v>
      </c>
    </row>
    <row r="10" spans="2:19" ht="16">
      <c r="B10" s="214">
        <v>1</v>
      </c>
      <c r="C10" s="215">
        <f>D4</f>
        <v>0</v>
      </c>
      <c r="D10" s="216">
        <f>C10/2*(1-$D$7)*$D$6</f>
        <v>0</v>
      </c>
      <c r="E10" s="217">
        <f>C10+D10</f>
        <v>0</v>
      </c>
      <c r="F10" s="217">
        <f t="shared" ref="F10:F59" si="0">PV($D$5,B10,0,-E10)</f>
        <v>0</v>
      </c>
      <c r="G10" s="218">
        <f t="shared" ref="G10:G59" si="1">G9+1</f>
        <v>1</v>
      </c>
      <c r="H10" s="219">
        <v>0</v>
      </c>
      <c r="I10" s="220">
        <f t="shared" ref="I10:I59" si="2">(I9-H10/2)*$I$6*(1-$I$7)+I9-H10</f>
        <v>0</v>
      </c>
      <c r="J10" s="151"/>
      <c r="K10" s="151"/>
      <c r="L10" s="151"/>
    </row>
    <row r="11" spans="2:19" ht="16">
      <c r="B11" s="221">
        <f t="shared" ref="B11:B59" si="3">B10+1</f>
        <v>2</v>
      </c>
      <c r="C11" s="217">
        <f>D4*(1+$D$5)</f>
        <v>0</v>
      </c>
      <c r="D11" s="222">
        <f>(E10+C11/2)*(1-$D$7)*$D$6</f>
        <v>0</v>
      </c>
      <c r="E11" s="222">
        <f t="shared" ref="E11:E59" si="4">E10+C11+D11</f>
        <v>0</v>
      </c>
      <c r="F11" s="222">
        <f t="shared" si="0"/>
        <v>0</v>
      </c>
      <c r="G11" s="218">
        <f t="shared" si="1"/>
        <v>2</v>
      </c>
      <c r="H11" s="223">
        <f t="shared" ref="H11:H59" si="5">H10*(1+$I$5)</f>
        <v>0</v>
      </c>
      <c r="I11" s="220">
        <f t="shared" si="2"/>
        <v>0</v>
      </c>
      <c r="J11" s="151" t="s">
        <v>124</v>
      </c>
      <c r="K11" s="151"/>
      <c r="L11" s="151"/>
    </row>
    <row r="12" spans="2:19" ht="16">
      <c r="B12" s="221">
        <f t="shared" si="3"/>
        <v>3</v>
      </c>
      <c r="C12" s="222">
        <f t="shared" ref="C12:C59" si="6">C11*(1+$D$5)</f>
        <v>0</v>
      </c>
      <c r="D12" s="222">
        <f t="shared" ref="D12:D59" si="7">(E11+C12/2)*(1-$D$7)*$D$6</f>
        <v>0</v>
      </c>
      <c r="E12" s="222">
        <f t="shared" si="4"/>
        <v>0</v>
      </c>
      <c r="F12" s="222">
        <f t="shared" si="0"/>
        <v>0</v>
      </c>
      <c r="G12" s="218">
        <f t="shared" si="1"/>
        <v>3</v>
      </c>
      <c r="H12" s="223">
        <f t="shared" si="5"/>
        <v>0</v>
      </c>
      <c r="I12" s="220">
        <f t="shared" si="2"/>
        <v>0</v>
      </c>
      <c r="O12" s="245" t="s">
        <v>125</v>
      </c>
      <c r="P12" s="245"/>
      <c r="Q12" s="245" t="s">
        <v>98</v>
      </c>
      <c r="R12" s="245" t="s">
        <v>126</v>
      </c>
    </row>
    <row r="13" spans="2:19" ht="16">
      <c r="B13" s="221">
        <f t="shared" si="3"/>
        <v>4</v>
      </c>
      <c r="C13" s="222">
        <f t="shared" si="6"/>
        <v>0</v>
      </c>
      <c r="D13" s="222">
        <f t="shared" si="7"/>
        <v>0</v>
      </c>
      <c r="E13" s="222">
        <f t="shared" si="4"/>
        <v>0</v>
      </c>
      <c r="F13" s="222">
        <f t="shared" si="0"/>
        <v>0</v>
      </c>
      <c r="G13" s="218">
        <f t="shared" si="1"/>
        <v>4</v>
      </c>
      <c r="H13" s="223">
        <f t="shared" si="5"/>
        <v>0</v>
      </c>
      <c r="I13" s="220">
        <f t="shared" si="2"/>
        <v>0</v>
      </c>
      <c r="J13" s="151" t="s">
        <v>127</v>
      </c>
      <c r="O13" s="245"/>
      <c r="P13" s="246" t="s">
        <v>128</v>
      </c>
      <c r="Q13" s="247">
        <v>7198</v>
      </c>
      <c r="R13" s="247">
        <f>Q13*12</f>
        <v>86376</v>
      </c>
    </row>
    <row r="14" spans="2:19" ht="16">
      <c r="B14" s="221">
        <f t="shared" si="3"/>
        <v>5</v>
      </c>
      <c r="C14" s="222">
        <f t="shared" si="6"/>
        <v>0</v>
      </c>
      <c r="D14" s="222">
        <f t="shared" si="7"/>
        <v>0</v>
      </c>
      <c r="E14" s="222">
        <f t="shared" si="4"/>
        <v>0</v>
      </c>
      <c r="F14" s="222">
        <f t="shared" si="0"/>
        <v>0</v>
      </c>
      <c r="G14" s="218">
        <f t="shared" si="1"/>
        <v>5</v>
      </c>
      <c r="H14" s="223">
        <f t="shared" si="5"/>
        <v>0</v>
      </c>
      <c r="I14" s="220">
        <f t="shared" si="2"/>
        <v>0</v>
      </c>
      <c r="J14" s="151" t="s">
        <v>129</v>
      </c>
      <c r="O14" s="245"/>
      <c r="P14" s="246" t="s">
        <v>130</v>
      </c>
      <c r="Q14" s="247">
        <v>8329</v>
      </c>
      <c r="R14" s="247">
        <f>Q14*12</f>
        <v>99948</v>
      </c>
    </row>
    <row r="15" spans="2:19" ht="16">
      <c r="B15" s="221">
        <f t="shared" si="3"/>
        <v>6</v>
      </c>
      <c r="C15" s="222">
        <f t="shared" si="6"/>
        <v>0</v>
      </c>
      <c r="D15" s="222">
        <f t="shared" si="7"/>
        <v>0</v>
      </c>
      <c r="E15" s="222">
        <f t="shared" si="4"/>
        <v>0</v>
      </c>
      <c r="F15" s="222">
        <f t="shared" si="0"/>
        <v>0</v>
      </c>
      <c r="G15" s="218">
        <f t="shared" si="1"/>
        <v>6</v>
      </c>
      <c r="H15" s="223">
        <f t="shared" si="5"/>
        <v>0</v>
      </c>
      <c r="I15" s="220">
        <f t="shared" si="2"/>
        <v>0</v>
      </c>
      <c r="J15" s="151"/>
      <c r="O15" s="245"/>
      <c r="P15" s="246" t="s">
        <v>131</v>
      </c>
      <c r="Q15" s="247">
        <v>4262</v>
      </c>
      <c r="R15" s="247">
        <f>Q15*12</f>
        <v>51144</v>
      </c>
      <c r="S15" s="5" t="s">
        <v>132</v>
      </c>
    </row>
    <row r="16" spans="2:19" ht="16">
      <c r="B16" s="221">
        <f t="shared" si="3"/>
        <v>7</v>
      </c>
      <c r="C16" s="222">
        <f t="shared" si="6"/>
        <v>0</v>
      </c>
      <c r="D16" s="222">
        <f t="shared" si="7"/>
        <v>0</v>
      </c>
      <c r="E16" s="222">
        <f t="shared" si="4"/>
        <v>0</v>
      </c>
      <c r="F16" s="222">
        <f t="shared" si="0"/>
        <v>0</v>
      </c>
      <c r="G16" s="218">
        <f t="shared" si="1"/>
        <v>7</v>
      </c>
      <c r="H16" s="223">
        <f t="shared" si="5"/>
        <v>0</v>
      </c>
      <c r="I16" s="220">
        <f t="shared" si="2"/>
        <v>0</v>
      </c>
      <c r="Q16" s="4"/>
      <c r="R16" s="4"/>
    </row>
    <row r="17" spans="2:27" ht="16">
      <c r="B17" s="221">
        <f t="shared" si="3"/>
        <v>8</v>
      </c>
      <c r="C17" s="222">
        <f t="shared" si="6"/>
        <v>0</v>
      </c>
      <c r="D17" s="222">
        <f>(E16+C17/2)*(1-$D$7)*$D$6</f>
        <v>0</v>
      </c>
      <c r="E17" s="222">
        <f t="shared" si="4"/>
        <v>0</v>
      </c>
      <c r="F17" s="222">
        <f t="shared" si="0"/>
        <v>0</v>
      </c>
      <c r="G17" s="218">
        <f t="shared" si="1"/>
        <v>8</v>
      </c>
      <c r="H17" s="223">
        <f t="shared" si="5"/>
        <v>0</v>
      </c>
      <c r="I17" s="220">
        <f t="shared" si="2"/>
        <v>0</v>
      </c>
      <c r="J17" s="151"/>
      <c r="P17" s="5" t="s">
        <v>133</v>
      </c>
      <c r="Q17" s="4" t="s">
        <v>98</v>
      </c>
      <c r="R17" s="4" t="s">
        <v>126</v>
      </c>
    </row>
    <row r="18" spans="2:27" ht="16">
      <c r="B18" s="221">
        <f t="shared" si="3"/>
        <v>9</v>
      </c>
      <c r="C18" s="222">
        <f t="shared" si="6"/>
        <v>0</v>
      </c>
      <c r="D18" s="222">
        <f>(E17+C18/2)*(1-$D$7)*$D$6</f>
        <v>0</v>
      </c>
      <c r="E18" s="222">
        <f t="shared" si="4"/>
        <v>0</v>
      </c>
      <c r="F18" s="222">
        <f t="shared" si="0"/>
        <v>0</v>
      </c>
      <c r="G18" s="218">
        <f t="shared" si="1"/>
        <v>9</v>
      </c>
      <c r="H18" s="223">
        <f t="shared" si="5"/>
        <v>0</v>
      </c>
      <c r="I18" s="220">
        <f t="shared" si="2"/>
        <v>0</v>
      </c>
      <c r="J18" s="151"/>
      <c r="K18" s="151"/>
      <c r="L18" s="151"/>
      <c r="M18" s="151"/>
      <c r="P18" s="246" t="s">
        <v>134</v>
      </c>
      <c r="Q18" s="247">
        <f>R18/12</f>
        <v>2343.25</v>
      </c>
      <c r="R18" s="247">
        <v>28119</v>
      </c>
    </row>
    <row r="19" spans="2:27" ht="17" thickBot="1">
      <c r="B19" s="221">
        <f t="shared" si="3"/>
        <v>10</v>
      </c>
      <c r="C19" s="222">
        <f t="shared" si="6"/>
        <v>0</v>
      </c>
      <c r="D19" s="222">
        <f t="shared" si="7"/>
        <v>0</v>
      </c>
      <c r="E19" s="222">
        <f t="shared" si="4"/>
        <v>0</v>
      </c>
      <c r="F19" s="222">
        <f t="shared" si="0"/>
        <v>0</v>
      </c>
      <c r="G19" s="218">
        <f t="shared" si="1"/>
        <v>10</v>
      </c>
      <c r="H19" s="223">
        <f t="shared" si="5"/>
        <v>0</v>
      </c>
      <c r="I19" s="220">
        <f t="shared" si="2"/>
        <v>0</v>
      </c>
      <c r="J19" s="151"/>
      <c r="K19" s="151"/>
      <c r="L19" s="151"/>
      <c r="M19" s="151"/>
    </row>
    <row r="20" spans="2:27" ht="16">
      <c r="B20" s="221">
        <f t="shared" si="3"/>
        <v>11</v>
      </c>
      <c r="C20" s="222">
        <f t="shared" si="6"/>
        <v>0</v>
      </c>
      <c r="D20" s="222">
        <f t="shared" si="7"/>
        <v>0</v>
      </c>
      <c r="E20" s="222">
        <f t="shared" si="4"/>
        <v>0</v>
      </c>
      <c r="F20" s="222">
        <f t="shared" si="0"/>
        <v>0</v>
      </c>
      <c r="G20" s="218">
        <f t="shared" si="1"/>
        <v>11</v>
      </c>
      <c r="H20" s="223">
        <f t="shared" si="5"/>
        <v>0</v>
      </c>
      <c r="I20" s="220">
        <f t="shared" si="2"/>
        <v>0</v>
      </c>
      <c r="J20" s="151"/>
      <c r="K20" s="151"/>
      <c r="L20" s="151"/>
      <c r="M20" s="151"/>
      <c r="P20" s="57" t="s">
        <v>135</v>
      </c>
      <c r="Q20" s="189"/>
      <c r="R20" s="224">
        <f>80000*12</f>
        <v>960000</v>
      </c>
    </row>
    <row r="21" spans="2:27" ht="17" thickBot="1">
      <c r="B21" s="221">
        <f t="shared" si="3"/>
        <v>12</v>
      </c>
      <c r="C21" s="222">
        <f t="shared" si="6"/>
        <v>0</v>
      </c>
      <c r="D21" s="222">
        <f t="shared" si="7"/>
        <v>0</v>
      </c>
      <c r="E21" s="222">
        <f t="shared" si="4"/>
        <v>0</v>
      </c>
      <c r="F21" s="222">
        <f t="shared" si="0"/>
        <v>0</v>
      </c>
      <c r="G21" s="218">
        <f t="shared" si="1"/>
        <v>12</v>
      </c>
      <c r="H21" s="223">
        <f t="shared" si="5"/>
        <v>0</v>
      </c>
      <c r="I21" s="220">
        <f t="shared" si="2"/>
        <v>0</v>
      </c>
      <c r="J21" s="151"/>
      <c r="K21" s="151"/>
      <c r="L21" s="151"/>
      <c r="M21" s="151"/>
      <c r="P21" s="63" t="s">
        <v>136</v>
      </c>
      <c r="Q21" s="225">
        <v>0.8</v>
      </c>
      <c r="R21" s="226">
        <f>R20*Q21</f>
        <v>768000</v>
      </c>
    </row>
    <row r="22" spans="2:27" ht="16">
      <c r="B22" s="221">
        <f t="shared" si="3"/>
        <v>13</v>
      </c>
      <c r="C22" s="222">
        <f t="shared" si="6"/>
        <v>0</v>
      </c>
      <c r="D22" s="222">
        <f t="shared" si="7"/>
        <v>0</v>
      </c>
      <c r="E22" s="222">
        <f t="shared" si="4"/>
        <v>0</v>
      </c>
      <c r="F22" s="222">
        <f t="shared" si="0"/>
        <v>0</v>
      </c>
      <c r="G22" s="218">
        <f t="shared" si="1"/>
        <v>13</v>
      </c>
      <c r="H22" s="223">
        <f t="shared" si="5"/>
        <v>0</v>
      </c>
      <c r="I22" s="220">
        <f t="shared" si="2"/>
        <v>0</v>
      </c>
      <c r="J22" s="151"/>
      <c r="K22" s="151"/>
      <c r="L22" s="151"/>
      <c r="M22" s="151"/>
      <c r="P22" s="48" t="s">
        <v>137</v>
      </c>
      <c r="R22" s="227">
        <f>R13</f>
        <v>86376</v>
      </c>
      <c r="S22" s="5" t="s">
        <v>302</v>
      </c>
    </row>
    <row r="23" spans="2:27" ht="16">
      <c r="B23" s="221">
        <f t="shared" si="3"/>
        <v>14</v>
      </c>
      <c r="C23" s="222">
        <f t="shared" si="6"/>
        <v>0</v>
      </c>
      <c r="D23" s="222">
        <f t="shared" si="7"/>
        <v>0</v>
      </c>
      <c r="E23" s="222">
        <f t="shared" si="4"/>
        <v>0</v>
      </c>
      <c r="F23" s="222">
        <f t="shared" si="0"/>
        <v>0</v>
      </c>
      <c r="G23" s="218">
        <f t="shared" si="1"/>
        <v>14</v>
      </c>
      <c r="H23" s="223">
        <f t="shared" si="5"/>
        <v>0</v>
      </c>
      <c r="I23" s="220">
        <f t="shared" si="2"/>
        <v>0</v>
      </c>
      <c r="J23" s="151"/>
      <c r="K23" s="151"/>
      <c r="L23" s="151"/>
      <c r="M23" s="151"/>
      <c r="P23" s="48" t="s">
        <v>139</v>
      </c>
      <c r="R23" s="227">
        <v>17900</v>
      </c>
      <c r="S23" s="5" t="s">
        <v>303</v>
      </c>
    </row>
    <row r="24" spans="2:27" ht="16">
      <c r="B24" s="221">
        <f t="shared" si="3"/>
        <v>15</v>
      </c>
      <c r="C24" s="222">
        <f t="shared" si="6"/>
        <v>0</v>
      </c>
      <c r="D24" s="222">
        <f t="shared" si="7"/>
        <v>0</v>
      </c>
      <c r="E24" s="222">
        <f t="shared" si="4"/>
        <v>0</v>
      </c>
      <c r="F24" s="222">
        <f t="shared" si="0"/>
        <v>0</v>
      </c>
      <c r="G24" s="218">
        <f t="shared" si="1"/>
        <v>15</v>
      </c>
      <c r="H24" s="223">
        <f t="shared" si="5"/>
        <v>0</v>
      </c>
      <c r="I24" s="220">
        <f t="shared" si="2"/>
        <v>0</v>
      </c>
      <c r="J24" s="151"/>
      <c r="K24" s="151"/>
      <c r="L24" s="151"/>
      <c r="M24" s="151"/>
      <c r="P24" s="48" t="s">
        <v>140</v>
      </c>
      <c r="R24" s="227">
        <f>26500/2+27000/2+383000/2+92000</f>
        <v>310250</v>
      </c>
      <c r="S24" s="5" t="str">
        <f>S23</f>
        <v>Ændret jf. pensionsinfo</v>
      </c>
      <c r="U24" s="263" t="s">
        <v>142</v>
      </c>
      <c r="V24" s="263"/>
      <c r="W24" s="263"/>
      <c r="X24" s="263"/>
      <c r="Y24" s="263"/>
      <c r="Z24" s="263"/>
      <c r="AA24" s="263"/>
    </row>
    <row r="25" spans="2:27" ht="17" thickBot="1">
      <c r="B25" s="221">
        <f t="shared" si="3"/>
        <v>16</v>
      </c>
      <c r="C25" s="222">
        <f t="shared" si="6"/>
        <v>0</v>
      </c>
      <c r="D25" s="222">
        <f t="shared" si="7"/>
        <v>0</v>
      </c>
      <c r="E25" s="222">
        <f t="shared" si="4"/>
        <v>0</v>
      </c>
      <c r="F25" s="222">
        <f t="shared" si="0"/>
        <v>0</v>
      </c>
      <c r="G25" s="218">
        <f t="shared" si="1"/>
        <v>16</v>
      </c>
      <c r="H25" s="223">
        <f t="shared" si="5"/>
        <v>0</v>
      </c>
      <c r="I25" s="220">
        <f t="shared" si="2"/>
        <v>0</v>
      </c>
      <c r="P25" s="48" t="s">
        <v>143</v>
      </c>
      <c r="R25" s="228">
        <f>K9</f>
        <v>164761.90476190476</v>
      </c>
      <c r="S25" s="5" t="s">
        <v>144</v>
      </c>
      <c r="U25" s="263"/>
      <c r="V25" s="263"/>
      <c r="W25" s="263"/>
      <c r="X25" s="263"/>
      <c r="Y25" s="263"/>
      <c r="Z25" s="263"/>
      <c r="AA25" s="263"/>
    </row>
    <row r="26" spans="2:27" ht="17" thickBot="1">
      <c r="B26" s="221">
        <f t="shared" si="3"/>
        <v>17</v>
      </c>
      <c r="C26" s="222">
        <f t="shared" si="6"/>
        <v>0</v>
      </c>
      <c r="D26" s="222">
        <f t="shared" si="7"/>
        <v>0</v>
      </c>
      <c r="E26" s="222">
        <f t="shared" si="4"/>
        <v>0</v>
      </c>
      <c r="F26" s="222">
        <f t="shared" si="0"/>
        <v>0</v>
      </c>
      <c r="G26" s="218">
        <f t="shared" si="1"/>
        <v>17</v>
      </c>
      <c r="H26" s="223">
        <f t="shared" si="5"/>
        <v>0</v>
      </c>
      <c r="I26" s="220">
        <f t="shared" si="2"/>
        <v>0</v>
      </c>
      <c r="P26" s="229" t="s">
        <v>145</v>
      </c>
      <c r="Q26" s="230"/>
      <c r="R26" s="231">
        <f>R21-R22-R23-R24-R25</f>
        <v>188712.09523809524</v>
      </c>
    </row>
    <row r="27" spans="2:27" ht="17" thickBot="1">
      <c r="B27" s="221">
        <f t="shared" si="3"/>
        <v>18</v>
      </c>
      <c r="C27" s="222">
        <f t="shared" si="6"/>
        <v>0</v>
      </c>
      <c r="D27" s="222">
        <f t="shared" si="7"/>
        <v>0</v>
      </c>
      <c r="E27" s="222">
        <f t="shared" si="4"/>
        <v>0</v>
      </c>
      <c r="F27" s="222">
        <f t="shared" si="0"/>
        <v>0</v>
      </c>
      <c r="G27" s="218">
        <f t="shared" si="1"/>
        <v>18</v>
      </c>
      <c r="H27" s="223">
        <f t="shared" si="5"/>
        <v>0</v>
      </c>
      <c r="I27" s="220">
        <f t="shared" si="2"/>
        <v>0</v>
      </c>
      <c r="J27" s="151"/>
    </row>
    <row r="28" spans="2:27" ht="16">
      <c r="B28" s="221">
        <f t="shared" si="3"/>
        <v>19</v>
      </c>
      <c r="C28" s="222">
        <f t="shared" si="6"/>
        <v>0</v>
      </c>
      <c r="D28" s="222">
        <f t="shared" si="7"/>
        <v>0</v>
      </c>
      <c r="E28" s="222">
        <f t="shared" si="4"/>
        <v>0</v>
      </c>
      <c r="F28" s="222">
        <f t="shared" si="0"/>
        <v>0</v>
      </c>
      <c r="G28" s="218">
        <f t="shared" si="1"/>
        <v>19</v>
      </c>
      <c r="H28" s="223">
        <f t="shared" si="5"/>
        <v>0</v>
      </c>
      <c r="I28" s="220">
        <f t="shared" si="2"/>
        <v>0</v>
      </c>
      <c r="J28" s="151"/>
      <c r="P28" s="232" t="s">
        <v>146</v>
      </c>
      <c r="Q28" s="233"/>
      <c r="R28" s="234">
        <f>R22+R23+R24+R25</f>
        <v>579287.90476190473</v>
      </c>
    </row>
    <row r="29" spans="2:27" ht="17" thickBot="1">
      <c r="B29" s="221">
        <f t="shared" si="3"/>
        <v>20</v>
      </c>
      <c r="C29" s="222">
        <f t="shared" si="6"/>
        <v>0</v>
      </c>
      <c r="D29" s="222">
        <f t="shared" si="7"/>
        <v>0</v>
      </c>
      <c r="E29" s="222">
        <f t="shared" si="4"/>
        <v>0</v>
      </c>
      <c r="F29" s="222">
        <f t="shared" si="0"/>
        <v>0</v>
      </c>
      <c r="G29" s="218">
        <f t="shared" si="1"/>
        <v>20</v>
      </c>
      <c r="H29" s="223">
        <f t="shared" si="5"/>
        <v>0</v>
      </c>
      <c r="I29" s="235">
        <f t="shared" si="2"/>
        <v>0</v>
      </c>
      <c r="J29" s="151"/>
      <c r="P29" s="236" t="s">
        <v>147</v>
      </c>
      <c r="Q29" s="237"/>
      <c r="R29" s="238">
        <f>R28/R20</f>
        <v>0.60342490079365074</v>
      </c>
    </row>
    <row r="30" spans="2:27" ht="16">
      <c r="B30" s="221">
        <f t="shared" si="3"/>
        <v>21</v>
      </c>
      <c r="C30" s="222">
        <f t="shared" si="6"/>
        <v>0</v>
      </c>
      <c r="D30" s="222">
        <f t="shared" si="7"/>
        <v>0</v>
      </c>
      <c r="E30" s="222">
        <f t="shared" si="4"/>
        <v>0</v>
      </c>
      <c r="F30" s="222">
        <f t="shared" si="0"/>
        <v>0</v>
      </c>
      <c r="G30" s="218">
        <f t="shared" si="1"/>
        <v>21</v>
      </c>
      <c r="H30" s="223">
        <f t="shared" si="5"/>
        <v>0</v>
      </c>
      <c r="I30" s="220">
        <f t="shared" si="2"/>
        <v>0</v>
      </c>
    </row>
    <row r="31" spans="2:27" ht="16">
      <c r="B31" s="221">
        <f t="shared" si="3"/>
        <v>22</v>
      </c>
      <c r="C31" s="222">
        <f t="shared" si="6"/>
        <v>0</v>
      </c>
      <c r="D31" s="222">
        <f t="shared" si="7"/>
        <v>0</v>
      </c>
      <c r="E31" s="222">
        <f t="shared" si="4"/>
        <v>0</v>
      </c>
      <c r="F31" s="222">
        <f t="shared" si="0"/>
        <v>0</v>
      </c>
      <c r="G31" s="218">
        <f t="shared" si="1"/>
        <v>22</v>
      </c>
      <c r="H31" s="223">
        <f t="shared" si="5"/>
        <v>0</v>
      </c>
      <c r="I31" s="220">
        <f t="shared" si="2"/>
        <v>0</v>
      </c>
      <c r="J31" s="151"/>
    </row>
    <row r="32" spans="2:27" ht="16">
      <c r="B32" s="221">
        <f t="shared" si="3"/>
        <v>23</v>
      </c>
      <c r="C32" s="222">
        <f t="shared" si="6"/>
        <v>0</v>
      </c>
      <c r="D32" s="222">
        <f t="shared" si="7"/>
        <v>0</v>
      </c>
      <c r="E32" s="222">
        <f t="shared" si="4"/>
        <v>0</v>
      </c>
      <c r="F32" s="222">
        <f t="shared" si="0"/>
        <v>0</v>
      </c>
      <c r="G32" s="218">
        <f t="shared" si="1"/>
        <v>23</v>
      </c>
      <c r="H32" s="223">
        <f t="shared" si="5"/>
        <v>0</v>
      </c>
      <c r="I32" s="220">
        <f t="shared" si="2"/>
        <v>0</v>
      </c>
      <c r="J32" s="151"/>
    </row>
    <row r="33" spans="2:25" ht="16">
      <c r="B33" s="221">
        <f t="shared" si="3"/>
        <v>24</v>
      </c>
      <c r="C33" s="222">
        <f t="shared" si="6"/>
        <v>0</v>
      </c>
      <c r="D33" s="222">
        <f t="shared" si="7"/>
        <v>0</v>
      </c>
      <c r="E33" s="222">
        <f t="shared" si="4"/>
        <v>0</v>
      </c>
      <c r="F33" s="222">
        <f t="shared" si="0"/>
        <v>0</v>
      </c>
      <c r="G33" s="218">
        <f t="shared" si="1"/>
        <v>24</v>
      </c>
      <c r="H33" s="223">
        <f t="shared" si="5"/>
        <v>0</v>
      </c>
      <c r="I33" s="220">
        <f t="shared" si="2"/>
        <v>0</v>
      </c>
      <c r="K33" s="5" t="s">
        <v>148</v>
      </c>
    </row>
    <row r="34" spans="2:25" ht="16">
      <c r="B34" s="221">
        <f t="shared" si="3"/>
        <v>25</v>
      </c>
      <c r="C34" s="222">
        <f t="shared" si="6"/>
        <v>0</v>
      </c>
      <c r="D34" s="222">
        <f t="shared" si="7"/>
        <v>0</v>
      </c>
      <c r="E34" s="222">
        <f t="shared" si="4"/>
        <v>0</v>
      </c>
      <c r="F34" s="222">
        <f t="shared" si="0"/>
        <v>0</v>
      </c>
      <c r="G34" s="218">
        <f t="shared" si="1"/>
        <v>25</v>
      </c>
      <c r="H34" s="223">
        <f t="shared" si="5"/>
        <v>0</v>
      </c>
      <c r="I34" s="220">
        <f t="shared" si="2"/>
        <v>0</v>
      </c>
      <c r="K34" s="5" t="s">
        <v>149</v>
      </c>
      <c r="Y34" s="5" t="s">
        <v>76</v>
      </c>
    </row>
    <row r="35" spans="2:25" ht="16">
      <c r="B35" s="221">
        <f t="shared" si="3"/>
        <v>26</v>
      </c>
      <c r="C35" s="222">
        <f t="shared" si="6"/>
        <v>0</v>
      </c>
      <c r="D35" s="222">
        <f t="shared" si="7"/>
        <v>0</v>
      </c>
      <c r="E35" s="222">
        <f t="shared" si="4"/>
        <v>0</v>
      </c>
      <c r="F35" s="222">
        <f t="shared" si="0"/>
        <v>0</v>
      </c>
      <c r="G35" s="218">
        <f t="shared" si="1"/>
        <v>26</v>
      </c>
      <c r="H35" s="223">
        <f t="shared" si="5"/>
        <v>0</v>
      </c>
      <c r="I35" s="220">
        <f t="shared" si="2"/>
        <v>0</v>
      </c>
      <c r="K35" s="5" t="s">
        <v>150</v>
      </c>
    </row>
    <row r="36" spans="2:25" ht="16">
      <c r="B36" s="221">
        <f t="shared" si="3"/>
        <v>27</v>
      </c>
      <c r="C36" s="222">
        <f t="shared" si="6"/>
        <v>0</v>
      </c>
      <c r="D36" s="222">
        <f t="shared" si="7"/>
        <v>0</v>
      </c>
      <c r="E36" s="222">
        <f t="shared" si="4"/>
        <v>0</v>
      </c>
      <c r="F36" s="222">
        <f t="shared" si="0"/>
        <v>0</v>
      </c>
      <c r="G36" s="218">
        <f t="shared" si="1"/>
        <v>27</v>
      </c>
      <c r="H36" s="223">
        <f t="shared" si="5"/>
        <v>0</v>
      </c>
      <c r="I36" s="220">
        <f t="shared" si="2"/>
        <v>0</v>
      </c>
    </row>
    <row r="37" spans="2:25" ht="16">
      <c r="B37" s="221">
        <f t="shared" si="3"/>
        <v>28</v>
      </c>
      <c r="C37" s="222">
        <f t="shared" si="6"/>
        <v>0</v>
      </c>
      <c r="D37" s="222">
        <f t="shared" si="7"/>
        <v>0</v>
      </c>
      <c r="E37" s="222">
        <f t="shared" si="4"/>
        <v>0</v>
      </c>
      <c r="F37" s="222">
        <f t="shared" si="0"/>
        <v>0</v>
      </c>
      <c r="G37" s="218">
        <f t="shared" si="1"/>
        <v>28</v>
      </c>
      <c r="H37" s="223">
        <f t="shared" si="5"/>
        <v>0</v>
      </c>
      <c r="I37" s="220">
        <f t="shared" si="2"/>
        <v>0</v>
      </c>
    </row>
    <row r="38" spans="2:25" ht="16">
      <c r="B38" s="221">
        <f t="shared" si="3"/>
        <v>29</v>
      </c>
      <c r="C38" s="222">
        <f t="shared" si="6"/>
        <v>0</v>
      </c>
      <c r="D38" s="222">
        <f t="shared" si="7"/>
        <v>0</v>
      </c>
      <c r="E38" s="222">
        <f t="shared" si="4"/>
        <v>0</v>
      </c>
      <c r="F38" s="222">
        <f t="shared" si="0"/>
        <v>0</v>
      </c>
      <c r="G38" s="218">
        <f t="shared" si="1"/>
        <v>29</v>
      </c>
      <c r="H38" s="223">
        <f t="shared" si="5"/>
        <v>0</v>
      </c>
      <c r="I38" s="220">
        <f t="shared" si="2"/>
        <v>0</v>
      </c>
    </row>
    <row r="39" spans="2:25" ht="16">
      <c r="B39" s="221">
        <f t="shared" si="3"/>
        <v>30</v>
      </c>
      <c r="C39" s="222">
        <f t="shared" si="6"/>
        <v>0</v>
      </c>
      <c r="D39" s="222">
        <f t="shared" si="7"/>
        <v>0</v>
      </c>
      <c r="E39" s="222">
        <f t="shared" si="4"/>
        <v>0</v>
      </c>
      <c r="F39" s="222">
        <f t="shared" si="0"/>
        <v>0</v>
      </c>
      <c r="G39" s="218">
        <f t="shared" si="1"/>
        <v>30</v>
      </c>
      <c r="H39" s="223">
        <f t="shared" si="5"/>
        <v>0</v>
      </c>
      <c r="I39" s="220">
        <f t="shared" si="2"/>
        <v>0</v>
      </c>
    </row>
    <row r="40" spans="2:25" ht="16">
      <c r="B40" s="221">
        <f t="shared" si="3"/>
        <v>31</v>
      </c>
      <c r="C40" s="222">
        <f t="shared" si="6"/>
        <v>0</v>
      </c>
      <c r="D40" s="222">
        <f t="shared" si="7"/>
        <v>0</v>
      </c>
      <c r="E40" s="222">
        <f t="shared" si="4"/>
        <v>0</v>
      </c>
      <c r="F40" s="222">
        <f t="shared" si="0"/>
        <v>0</v>
      </c>
      <c r="G40" s="218">
        <f t="shared" si="1"/>
        <v>31</v>
      </c>
      <c r="H40" s="223">
        <f t="shared" si="5"/>
        <v>0</v>
      </c>
      <c r="I40" s="220">
        <f t="shared" si="2"/>
        <v>0</v>
      </c>
    </row>
    <row r="41" spans="2:25" ht="16">
      <c r="B41" s="221">
        <f t="shared" si="3"/>
        <v>32</v>
      </c>
      <c r="C41" s="222">
        <f t="shared" si="6"/>
        <v>0</v>
      </c>
      <c r="D41" s="222">
        <f t="shared" si="7"/>
        <v>0</v>
      </c>
      <c r="E41" s="222">
        <f t="shared" si="4"/>
        <v>0</v>
      </c>
      <c r="F41" s="222">
        <f t="shared" si="0"/>
        <v>0</v>
      </c>
      <c r="G41" s="218">
        <f t="shared" si="1"/>
        <v>32</v>
      </c>
      <c r="H41" s="223">
        <f t="shared" si="5"/>
        <v>0</v>
      </c>
      <c r="I41" s="220">
        <f t="shared" si="2"/>
        <v>0</v>
      </c>
    </row>
    <row r="42" spans="2:25" ht="16">
      <c r="B42" s="221">
        <f t="shared" si="3"/>
        <v>33</v>
      </c>
      <c r="C42" s="222">
        <f t="shared" si="6"/>
        <v>0</v>
      </c>
      <c r="D42" s="222">
        <f t="shared" si="7"/>
        <v>0</v>
      </c>
      <c r="E42" s="222">
        <f t="shared" si="4"/>
        <v>0</v>
      </c>
      <c r="F42" s="222">
        <f t="shared" si="0"/>
        <v>0</v>
      </c>
      <c r="G42" s="218">
        <f t="shared" si="1"/>
        <v>33</v>
      </c>
      <c r="H42" s="223">
        <f t="shared" si="5"/>
        <v>0</v>
      </c>
      <c r="I42" s="220">
        <f t="shared" si="2"/>
        <v>0</v>
      </c>
    </row>
    <row r="43" spans="2:25" ht="16">
      <c r="B43" s="221">
        <f t="shared" si="3"/>
        <v>34</v>
      </c>
      <c r="C43" s="222">
        <f t="shared" si="6"/>
        <v>0</v>
      </c>
      <c r="D43" s="222">
        <f t="shared" si="7"/>
        <v>0</v>
      </c>
      <c r="E43" s="222">
        <f t="shared" si="4"/>
        <v>0</v>
      </c>
      <c r="F43" s="222">
        <f t="shared" si="0"/>
        <v>0</v>
      </c>
      <c r="G43" s="218">
        <f t="shared" si="1"/>
        <v>34</v>
      </c>
      <c r="H43" s="223">
        <f t="shared" si="5"/>
        <v>0</v>
      </c>
      <c r="I43" s="220">
        <f t="shared" si="2"/>
        <v>0</v>
      </c>
    </row>
    <row r="44" spans="2:25" ht="16">
      <c r="B44" s="221">
        <f t="shared" si="3"/>
        <v>35</v>
      </c>
      <c r="C44" s="222">
        <f t="shared" si="6"/>
        <v>0</v>
      </c>
      <c r="D44" s="222">
        <f t="shared" si="7"/>
        <v>0</v>
      </c>
      <c r="E44" s="222">
        <f t="shared" si="4"/>
        <v>0</v>
      </c>
      <c r="F44" s="222">
        <f t="shared" si="0"/>
        <v>0</v>
      </c>
      <c r="G44" s="218">
        <f t="shared" si="1"/>
        <v>35</v>
      </c>
      <c r="H44" s="223">
        <f t="shared" si="5"/>
        <v>0</v>
      </c>
      <c r="I44" s="220">
        <f t="shared" si="2"/>
        <v>0</v>
      </c>
    </row>
    <row r="45" spans="2:25" ht="16">
      <c r="B45" s="221">
        <f t="shared" si="3"/>
        <v>36</v>
      </c>
      <c r="C45" s="222">
        <f t="shared" si="6"/>
        <v>0</v>
      </c>
      <c r="D45" s="222">
        <f t="shared" si="7"/>
        <v>0</v>
      </c>
      <c r="E45" s="222">
        <f t="shared" si="4"/>
        <v>0</v>
      </c>
      <c r="F45" s="222">
        <f t="shared" si="0"/>
        <v>0</v>
      </c>
      <c r="G45" s="218">
        <f t="shared" si="1"/>
        <v>36</v>
      </c>
      <c r="H45" s="223">
        <f t="shared" si="5"/>
        <v>0</v>
      </c>
      <c r="I45" s="220">
        <f t="shared" si="2"/>
        <v>0</v>
      </c>
    </row>
    <row r="46" spans="2:25" ht="16">
      <c r="B46" s="221">
        <f t="shared" si="3"/>
        <v>37</v>
      </c>
      <c r="C46" s="222">
        <f t="shared" si="6"/>
        <v>0</v>
      </c>
      <c r="D46" s="222">
        <f t="shared" si="7"/>
        <v>0</v>
      </c>
      <c r="E46" s="222">
        <f t="shared" si="4"/>
        <v>0</v>
      </c>
      <c r="F46" s="222">
        <f t="shared" si="0"/>
        <v>0</v>
      </c>
      <c r="G46" s="218">
        <f t="shared" si="1"/>
        <v>37</v>
      </c>
      <c r="H46" s="223">
        <f t="shared" si="5"/>
        <v>0</v>
      </c>
      <c r="I46" s="220">
        <f t="shared" si="2"/>
        <v>0</v>
      </c>
    </row>
    <row r="47" spans="2:25" ht="16">
      <c r="B47" s="221">
        <f t="shared" si="3"/>
        <v>38</v>
      </c>
      <c r="C47" s="222">
        <f t="shared" si="6"/>
        <v>0</v>
      </c>
      <c r="D47" s="222">
        <f t="shared" si="7"/>
        <v>0</v>
      </c>
      <c r="E47" s="222">
        <f t="shared" si="4"/>
        <v>0</v>
      </c>
      <c r="F47" s="222">
        <f t="shared" si="0"/>
        <v>0</v>
      </c>
      <c r="G47" s="218">
        <f t="shared" si="1"/>
        <v>38</v>
      </c>
      <c r="H47" s="223">
        <f t="shared" si="5"/>
        <v>0</v>
      </c>
      <c r="I47" s="220">
        <f t="shared" si="2"/>
        <v>0</v>
      </c>
    </row>
    <row r="48" spans="2:25" ht="16">
      <c r="B48" s="221">
        <f t="shared" si="3"/>
        <v>39</v>
      </c>
      <c r="C48" s="222">
        <f t="shared" si="6"/>
        <v>0</v>
      </c>
      <c r="D48" s="222">
        <f t="shared" si="7"/>
        <v>0</v>
      </c>
      <c r="E48" s="222">
        <f t="shared" si="4"/>
        <v>0</v>
      </c>
      <c r="F48" s="222">
        <f t="shared" si="0"/>
        <v>0</v>
      </c>
      <c r="G48" s="218">
        <f t="shared" si="1"/>
        <v>39</v>
      </c>
      <c r="H48" s="223">
        <f t="shared" si="5"/>
        <v>0</v>
      </c>
      <c r="I48" s="220">
        <f t="shared" si="2"/>
        <v>0</v>
      </c>
    </row>
    <row r="49" spans="2:9" ht="16">
      <c r="B49" s="221">
        <f t="shared" si="3"/>
        <v>40</v>
      </c>
      <c r="C49" s="222">
        <f t="shared" si="6"/>
        <v>0</v>
      </c>
      <c r="D49" s="222">
        <f t="shared" si="7"/>
        <v>0</v>
      </c>
      <c r="E49" s="222">
        <f t="shared" si="4"/>
        <v>0</v>
      </c>
      <c r="F49" s="222">
        <f t="shared" si="0"/>
        <v>0</v>
      </c>
      <c r="G49" s="218">
        <f t="shared" si="1"/>
        <v>40</v>
      </c>
      <c r="H49" s="223">
        <f t="shared" si="5"/>
        <v>0</v>
      </c>
      <c r="I49" s="220">
        <f t="shared" si="2"/>
        <v>0</v>
      </c>
    </row>
    <row r="50" spans="2:9" ht="16">
      <c r="B50" s="221">
        <f t="shared" si="3"/>
        <v>41</v>
      </c>
      <c r="C50" s="222">
        <f t="shared" si="6"/>
        <v>0</v>
      </c>
      <c r="D50" s="222">
        <f t="shared" si="7"/>
        <v>0</v>
      </c>
      <c r="E50" s="222">
        <f t="shared" si="4"/>
        <v>0</v>
      </c>
      <c r="F50" s="222">
        <f t="shared" si="0"/>
        <v>0</v>
      </c>
      <c r="G50" s="218">
        <f t="shared" si="1"/>
        <v>41</v>
      </c>
      <c r="H50" s="223">
        <f t="shared" si="5"/>
        <v>0</v>
      </c>
      <c r="I50" s="220">
        <f t="shared" si="2"/>
        <v>0</v>
      </c>
    </row>
    <row r="51" spans="2:9" ht="16">
      <c r="B51" s="221">
        <f t="shared" si="3"/>
        <v>42</v>
      </c>
      <c r="C51" s="222">
        <f t="shared" si="6"/>
        <v>0</v>
      </c>
      <c r="D51" s="222">
        <f t="shared" si="7"/>
        <v>0</v>
      </c>
      <c r="E51" s="222">
        <f t="shared" si="4"/>
        <v>0</v>
      </c>
      <c r="F51" s="222">
        <f t="shared" si="0"/>
        <v>0</v>
      </c>
      <c r="G51" s="218">
        <f t="shared" si="1"/>
        <v>42</v>
      </c>
      <c r="H51" s="223">
        <f t="shared" si="5"/>
        <v>0</v>
      </c>
      <c r="I51" s="220">
        <f t="shared" si="2"/>
        <v>0</v>
      </c>
    </row>
    <row r="52" spans="2:9" ht="16">
      <c r="B52" s="221">
        <f t="shared" si="3"/>
        <v>43</v>
      </c>
      <c r="C52" s="222">
        <f t="shared" si="6"/>
        <v>0</v>
      </c>
      <c r="D52" s="222">
        <f t="shared" si="7"/>
        <v>0</v>
      </c>
      <c r="E52" s="222">
        <f t="shared" si="4"/>
        <v>0</v>
      </c>
      <c r="F52" s="222">
        <f t="shared" si="0"/>
        <v>0</v>
      </c>
      <c r="G52" s="218">
        <f t="shared" si="1"/>
        <v>43</v>
      </c>
      <c r="H52" s="223">
        <f t="shared" si="5"/>
        <v>0</v>
      </c>
      <c r="I52" s="220">
        <f t="shared" si="2"/>
        <v>0</v>
      </c>
    </row>
    <row r="53" spans="2:9" ht="16">
      <c r="B53" s="221">
        <f t="shared" si="3"/>
        <v>44</v>
      </c>
      <c r="C53" s="222">
        <f t="shared" si="6"/>
        <v>0</v>
      </c>
      <c r="D53" s="222">
        <f t="shared" si="7"/>
        <v>0</v>
      </c>
      <c r="E53" s="222">
        <f t="shared" si="4"/>
        <v>0</v>
      </c>
      <c r="F53" s="222">
        <f t="shared" si="0"/>
        <v>0</v>
      </c>
      <c r="G53" s="218">
        <f t="shared" si="1"/>
        <v>44</v>
      </c>
      <c r="H53" s="223">
        <f t="shared" si="5"/>
        <v>0</v>
      </c>
      <c r="I53" s="220">
        <f t="shared" si="2"/>
        <v>0</v>
      </c>
    </row>
    <row r="54" spans="2:9" ht="16">
      <c r="B54" s="221">
        <f t="shared" si="3"/>
        <v>45</v>
      </c>
      <c r="C54" s="222">
        <f t="shared" si="6"/>
        <v>0</v>
      </c>
      <c r="D54" s="222">
        <f t="shared" si="7"/>
        <v>0</v>
      </c>
      <c r="E54" s="222">
        <f t="shared" si="4"/>
        <v>0</v>
      </c>
      <c r="F54" s="222">
        <f t="shared" si="0"/>
        <v>0</v>
      </c>
      <c r="G54" s="218">
        <f t="shared" si="1"/>
        <v>45</v>
      </c>
      <c r="H54" s="223">
        <f t="shared" si="5"/>
        <v>0</v>
      </c>
      <c r="I54" s="220">
        <f t="shared" si="2"/>
        <v>0</v>
      </c>
    </row>
    <row r="55" spans="2:9" ht="16">
      <c r="B55" s="221">
        <f t="shared" si="3"/>
        <v>46</v>
      </c>
      <c r="C55" s="222">
        <f t="shared" si="6"/>
        <v>0</v>
      </c>
      <c r="D55" s="222">
        <f t="shared" si="7"/>
        <v>0</v>
      </c>
      <c r="E55" s="222">
        <f t="shared" si="4"/>
        <v>0</v>
      </c>
      <c r="F55" s="222">
        <f t="shared" si="0"/>
        <v>0</v>
      </c>
      <c r="G55" s="218">
        <f t="shared" si="1"/>
        <v>46</v>
      </c>
      <c r="H55" s="223">
        <f t="shared" si="5"/>
        <v>0</v>
      </c>
      <c r="I55" s="220">
        <f t="shared" si="2"/>
        <v>0</v>
      </c>
    </row>
    <row r="56" spans="2:9" ht="16">
      <c r="B56" s="221">
        <f t="shared" si="3"/>
        <v>47</v>
      </c>
      <c r="C56" s="222">
        <f t="shared" si="6"/>
        <v>0</v>
      </c>
      <c r="D56" s="222">
        <f t="shared" si="7"/>
        <v>0</v>
      </c>
      <c r="E56" s="222">
        <f t="shared" si="4"/>
        <v>0</v>
      </c>
      <c r="F56" s="222">
        <f t="shared" si="0"/>
        <v>0</v>
      </c>
      <c r="G56" s="218">
        <f t="shared" si="1"/>
        <v>47</v>
      </c>
      <c r="H56" s="223">
        <f t="shared" si="5"/>
        <v>0</v>
      </c>
      <c r="I56" s="220">
        <f t="shared" si="2"/>
        <v>0</v>
      </c>
    </row>
    <row r="57" spans="2:9" ht="16">
      <c r="B57" s="221">
        <f t="shared" si="3"/>
        <v>48</v>
      </c>
      <c r="C57" s="222">
        <f t="shared" si="6"/>
        <v>0</v>
      </c>
      <c r="D57" s="222">
        <f t="shared" si="7"/>
        <v>0</v>
      </c>
      <c r="E57" s="222">
        <f t="shared" si="4"/>
        <v>0</v>
      </c>
      <c r="F57" s="222">
        <f t="shared" si="0"/>
        <v>0</v>
      </c>
      <c r="G57" s="218">
        <f t="shared" si="1"/>
        <v>48</v>
      </c>
      <c r="H57" s="223">
        <f t="shared" si="5"/>
        <v>0</v>
      </c>
      <c r="I57" s="220">
        <f t="shared" si="2"/>
        <v>0</v>
      </c>
    </row>
    <row r="58" spans="2:9" ht="16">
      <c r="B58" s="221">
        <f t="shared" si="3"/>
        <v>49</v>
      </c>
      <c r="C58" s="222">
        <f t="shared" si="6"/>
        <v>0</v>
      </c>
      <c r="D58" s="222">
        <f t="shared" si="7"/>
        <v>0</v>
      </c>
      <c r="E58" s="222">
        <f t="shared" si="4"/>
        <v>0</v>
      </c>
      <c r="F58" s="222">
        <f t="shared" si="0"/>
        <v>0</v>
      </c>
      <c r="G58" s="218">
        <f t="shared" si="1"/>
        <v>49</v>
      </c>
      <c r="H58" s="223">
        <f t="shared" si="5"/>
        <v>0</v>
      </c>
      <c r="I58" s="220">
        <f t="shared" si="2"/>
        <v>0</v>
      </c>
    </row>
    <row r="59" spans="2:9" ht="16">
      <c r="B59" s="221">
        <f t="shared" si="3"/>
        <v>50</v>
      </c>
      <c r="C59" s="222">
        <f t="shared" si="6"/>
        <v>0</v>
      </c>
      <c r="D59" s="222">
        <f t="shared" si="7"/>
        <v>0</v>
      </c>
      <c r="E59" s="222">
        <f t="shared" si="4"/>
        <v>0</v>
      </c>
      <c r="F59" s="222">
        <f t="shared" si="0"/>
        <v>0</v>
      </c>
      <c r="G59" s="218">
        <f t="shared" si="1"/>
        <v>50</v>
      </c>
      <c r="H59" s="223">
        <f t="shared" si="5"/>
        <v>0</v>
      </c>
      <c r="I59" s="220">
        <f t="shared" si="2"/>
        <v>0</v>
      </c>
    </row>
  </sheetData>
  <mergeCells count="1">
    <mergeCell ref="U24:AA25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BFAE-84D6-1E46-AA3A-A3B6DA9C0BEE}">
  <dimension ref="B2:Y59"/>
  <sheetViews>
    <sheetView zoomScale="125" zoomScaleNormal="80" workbookViewId="0">
      <selection activeCell="D2" sqref="D2"/>
    </sheetView>
  </sheetViews>
  <sheetFormatPr baseColWidth="10" defaultColWidth="9.1640625" defaultRowHeight="13"/>
  <cols>
    <col min="1" max="1" width="3.33203125" style="5" customWidth="1"/>
    <col min="2" max="2" width="7.6640625" style="5" customWidth="1"/>
    <col min="3" max="3" width="19.5" style="5" bestFit="1" customWidth="1"/>
    <col min="4" max="4" width="10.33203125" style="5" bestFit="1" customWidth="1"/>
    <col min="5" max="5" width="20.33203125" style="5" customWidth="1"/>
    <col min="6" max="6" width="12" style="5" customWidth="1"/>
    <col min="7" max="7" width="9.1640625" style="5"/>
    <col min="8" max="8" width="12.5" style="5" customWidth="1"/>
    <col min="9" max="9" width="15.83203125" style="5" customWidth="1"/>
    <col min="10" max="10" width="3.1640625" style="5" customWidth="1"/>
    <col min="11" max="11" width="13.33203125" style="5" bestFit="1" customWidth="1"/>
    <col min="12" max="13" width="9.1640625" style="5"/>
    <col min="14" max="14" width="16.6640625" style="5" customWidth="1"/>
    <col min="15" max="15" width="9.1640625" style="5"/>
    <col min="16" max="16" width="19.33203125" style="5" bestFit="1" customWidth="1"/>
    <col min="17" max="17" width="9.1640625" style="5"/>
    <col min="18" max="18" width="15" style="5" bestFit="1" customWidth="1"/>
    <col min="19" max="16384" width="9.1640625" style="5"/>
  </cols>
  <sheetData>
    <row r="2" spans="2:19" ht="13.5" customHeight="1" thickBot="1">
      <c r="C2" s="151" t="s">
        <v>97</v>
      </c>
      <c r="D2" s="184">
        <f>D4/0.8</f>
        <v>231503.27537576051</v>
      </c>
      <c r="E2" s="185">
        <f>D2/12</f>
        <v>19291.939614646708</v>
      </c>
      <c r="F2" s="186" t="s">
        <v>98</v>
      </c>
      <c r="K2" s="239">
        <f>E2*12</f>
        <v>231503.27537576051</v>
      </c>
    </row>
    <row r="3" spans="2:19" ht="14" thickBot="1">
      <c r="B3" s="187" t="s">
        <v>99</v>
      </c>
      <c r="C3" s="188"/>
      <c r="D3" s="189"/>
      <c r="E3" s="189"/>
      <c r="F3" s="190">
        <v>2025</v>
      </c>
      <c r="G3" s="191" t="s">
        <v>100</v>
      </c>
      <c r="H3" s="192"/>
      <c r="I3" s="193"/>
    </row>
    <row r="4" spans="2:19" ht="17" thickBot="1">
      <c r="B4" s="10"/>
      <c r="C4" s="193" t="s">
        <v>101</v>
      </c>
      <c r="D4" s="194">
        <v>185202.62030060843</v>
      </c>
      <c r="E4" s="195" t="s">
        <v>102</v>
      </c>
      <c r="F4" s="194">
        <v>0</v>
      </c>
      <c r="G4" s="191" t="s">
        <v>103</v>
      </c>
      <c r="H4" s="192"/>
      <c r="I4" s="193"/>
    </row>
    <row r="5" spans="2:19" ht="17" thickBot="1">
      <c r="B5" s="16"/>
      <c r="C5" s="193" t="s">
        <v>104</v>
      </c>
      <c r="D5" s="196">
        <v>1.4999999999999999E-2</v>
      </c>
      <c r="E5" s="195" t="s">
        <v>105</v>
      </c>
      <c r="F5" s="194">
        <v>15</v>
      </c>
      <c r="H5" s="43" t="s">
        <v>104</v>
      </c>
      <c r="I5" s="197">
        <v>1.4999999999999999E-2</v>
      </c>
      <c r="M5" s="5">
        <v>1</v>
      </c>
      <c r="N5" s="5" t="s">
        <v>106</v>
      </c>
    </row>
    <row r="6" spans="2:19" ht="14" thickBot="1">
      <c r="B6" s="16"/>
      <c r="C6" s="198" t="s">
        <v>107</v>
      </c>
      <c r="D6" s="196">
        <v>0.05</v>
      </c>
      <c r="E6" s="199">
        <f>(1+$D$6/2)^2-1</f>
        <v>5.062499999999992E-2</v>
      </c>
      <c r="F6" s="200"/>
      <c r="H6" s="195" t="s">
        <v>107</v>
      </c>
      <c r="I6" s="201">
        <v>0.03</v>
      </c>
      <c r="K6" s="5" t="s">
        <v>108</v>
      </c>
      <c r="M6" s="5">
        <v>2</v>
      </c>
      <c r="N6" s="5" t="s">
        <v>109</v>
      </c>
    </row>
    <row r="7" spans="2:19" ht="17" thickBot="1">
      <c r="B7" s="16"/>
      <c r="C7" s="193" t="s">
        <v>110</v>
      </c>
      <c r="D7" s="196">
        <v>0.153</v>
      </c>
      <c r="E7" s="34" t="s">
        <v>111</v>
      </c>
      <c r="F7" s="202">
        <f>FV($D$6*(1-$D$7),$F$5,0,-$F$4)</f>
        <v>0</v>
      </c>
      <c r="G7" s="182"/>
      <c r="H7" s="195" t="s">
        <v>110</v>
      </c>
      <c r="I7" s="196">
        <v>0.153</v>
      </c>
      <c r="K7" s="203">
        <f>460000*0.6+6000000/2*60%</f>
        <v>2076000</v>
      </c>
      <c r="M7" s="5">
        <v>3</v>
      </c>
      <c r="N7" s="5" t="s">
        <v>112</v>
      </c>
    </row>
    <row r="8" spans="2:19" ht="17" thickBot="1">
      <c r="B8" s="43"/>
      <c r="D8" s="204"/>
      <c r="E8" s="40" t="s">
        <v>113</v>
      </c>
      <c r="F8" s="202">
        <f>PV($D$5,$F$5,0,-$F$7)</f>
        <v>0</v>
      </c>
      <c r="G8" s="205" t="s">
        <v>114</v>
      </c>
      <c r="H8" s="206" t="s">
        <v>115</v>
      </c>
      <c r="I8" s="206" t="s">
        <v>116</v>
      </c>
      <c r="K8" s="4">
        <f>K7/20</f>
        <v>103800</v>
      </c>
      <c r="L8" s="5" t="s">
        <v>117</v>
      </c>
    </row>
    <row r="9" spans="2:19" ht="14" thickBot="1">
      <c r="B9" s="207" t="s">
        <v>118</v>
      </c>
      <c r="C9" s="206" t="s">
        <v>119</v>
      </c>
      <c r="D9" s="208" t="s">
        <v>120</v>
      </c>
      <c r="E9" s="209" t="s">
        <v>121</v>
      </c>
      <c r="F9" s="206" t="s">
        <v>122</v>
      </c>
      <c r="G9" s="210">
        <v>0</v>
      </c>
      <c r="H9" s="211"/>
      <c r="I9" s="212">
        <f>VLOOKUP(F5,B3:F59,5,FALSE)+F8</f>
        <v>3388965.2056586128</v>
      </c>
      <c r="J9" s="151"/>
      <c r="K9" s="213">
        <f>K8/0.63</f>
        <v>164761.90476190476</v>
      </c>
      <c r="L9" s="5" t="s">
        <v>123</v>
      </c>
    </row>
    <row r="10" spans="2:19" ht="16">
      <c r="B10" s="214">
        <v>1</v>
      </c>
      <c r="C10" s="215">
        <f>D4</f>
        <v>185202.62030060843</v>
      </c>
      <c r="D10" s="216">
        <f>C10/2*(1-$D$7)*$D$6</f>
        <v>3921.6654848653834</v>
      </c>
      <c r="E10" s="217">
        <f>C10+D10</f>
        <v>189124.2857854738</v>
      </c>
      <c r="F10" s="217">
        <f t="shared" ref="F10:F59" si="0">PV($D$5,B10,0,-E10)</f>
        <v>186329.34560145202</v>
      </c>
      <c r="G10" s="218">
        <f t="shared" ref="G10:G59" si="1">G9+1</f>
        <v>1</v>
      </c>
      <c r="H10" s="219">
        <v>188712.09523809527</v>
      </c>
      <c r="I10" s="220">
        <f t="shared" ref="I10:I59" si="2">(I9-H10/2)*$I$6*(1-$I$7)+I9-H10</f>
        <v>3283969.1291263029</v>
      </c>
      <c r="J10" s="151"/>
      <c r="K10" s="151"/>
      <c r="L10" s="151"/>
    </row>
    <row r="11" spans="2:19" ht="16">
      <c r="B11" s="221">
        <f t="shared" ref="B11:B59" si="3">B10+1</f>
        <v>2</v>
      </c>
      <c r="C11" s="217">
        <f>D4*(1+$D$5)</f>
        <v>187980.65960511754</v>
      </c>
      <c r="D11" s="222">
        <f>(E10+C11/2)*(1-$D$7)*$D$6</f>
        <v>11989.90397015318</v>
      </c>
      <c r="E11" s="222">
        <f t="shared" ref="E11:E59" si="4">E10+C11+D11</f>
        <v>389094.84936074453</v>
      </c>
      <c r="F11" s="222">
        <f t="shared" si="0"/>
        <v>377679.48687009601</v>
      </c>
      <c r="G11" s="218">
        <f t="shared" si="1"/>
        <v>2</v>
      </c>
      <c r="H11" s="223">
        <f t="shared" ref="H11:H59" si="5">H10*(1+$I$5)</f>
        <v>191542.77666666667</v>
      </c>
      <c r="I11" s="220">
        <f t="shared" si="2"/>
        <v>3173438.4570531854</v>
      </c>
      <c r="J11" s="151" t="s">
        <v>124</v>
      </c>
      <c r="K11" s="151"/>
      <c r="L11" s="151"/>
    </row>
    <row r="12" spans="2:19" ht="12.75" customHeight="1">
      <c r="B12" s="221">
        <f t="shared" si="3"/>
        <v>3</v>
      </c>
      <c r="C12" s="222">
        <f t="shared" ref="C12:C59" si="6">C11*(1+$D$5)</f>
        <v>190800.36949919429</v>
      </c>
      <c r="D12" s="222">
        <f t="shared" ref="D12:D59" si="7">(E11+C12/2)*(1-$D$7)*$D$6</f>
        <v>20518.364694572971</v>
      </c>
      <c r="E12" s="222">
        <f t="shared" si="4"/>
        <v>600413.58355451177</v>
      </c>
      <c r="F12" s="222">
        <f t="shared" si="0"/>
        <v>574185.71322612651</v>
      </c>
      <c r="G12" s="218">
        <f t="shared" si="1"/>
        <v>3</v>
      </c>
      <c r="H12" s="223">
        <f t="shared" si="5"/>
        <v>194415.91831666665</v>
      </c>
      <c r="I12" s="220">
        <f t="shared" si="2"/>
        <v>3057189.5556880273</v>
      </c>
      <c r="O12" s="245" t="s">
        <v>125</v>
      </c>
      <c r="P12" s="245"/>
      <c r="Q12" s="245" t="s">
        <v>98</v>
      </c>
      <c r="R12" s="245" t="s">
        <v>126</v>
      </c>
    </row>
    <row r="13" spans="2:19" ht="16">
      <c r="B13" s="221">
        <f t="shared" si="3"/>
        <v>4</v>
      </c>
      <c r="C13" s="222">
        <f t="shared" si="6"/>
        <v>193662.37504168219</v>
      </c>
      <c r="D13" s="222">
        <f t="shared" si="7"/>
        <v>29528.316055041199</v>
      </c>
      <c r="E13" s="222">
        <f t="shared" si="4"/>
        <v>823604.27465123509</v>
      </c>
      <c r="F13" s="222">
        <f t="shared" si="0"/>
        <v>775986.95957312989</v>
      </c>
      <c r="G13" s="218">
        <f t="shared" si="1"/>
        <v>4</v>
      </c>
      <c r="H13" s="223">
        <f t="shared" si="5"/>
        <v>197332.15709141662</v>
      </c>
      <c r="I13" s="220">
        <f t="shared" si="2"/>
        <v>2935033.4801507974</v>
      </c>
      <c r="J13" s="151" t="s">
        <v>127</v>
      </c>
      <c r="O13" s="245"/>
      <c r="P13" s="246" t="s">
        <v>128</v>
      </c>
      <c r="Q13" s="247">
        <v>7198</v>
      </c>
      <c r="R13" s="247">
        <f>Q13*12</f>
        <v>86376</v>
      </c>
    </row>
    <row r="14" spans="2:19" ht="16">
      <c r="B14" s="221">
        <f t="shared" si="3"/>
        <v>5</v>
      </c>
      <c r="C14" s="222">
        <f t="shared" si="6"/>
        <v>196567.31066730741</v>
      </c>
      <c r="D14" s="222">
        <f t="shared" si="7"/>
        <v>39041.95383486004</v>
      </c>
      <c r="E14" s="222">
        <f t="shared" si="4"/>
        <v>1059213.5391534027</v>
      </c>
      <c r="F14" s="222">
        <f t="shared" si="0"/>
        <v>983225.90452859714</v>
      </c>
      <c r="G14" s="218">
        <f t="shared" si="1"/>
        <v>5</v>
      </c>
      <c r="H14" s="223">
        <f t="shared" si="5"/>
        <v>200292.13944778786</v>
      </c>
      <c r="I14" s="220">
        <f t="shared" si="2"/>
        <v>2806775.8298019571</v>
      </c>
      <c r="J14" s="151" t="s">
        <v>129</v>
      </c>
      <c r="O14" s="245"/>
      <c r="P14" s="246" t="s">
        <v>130</v>
      </c>
      <c r="Q14" s="247">
        <v>8329</v>
      </c>
      <c r="R14" s="247">
        <f>Q14*12</f>
        <v>99948</v>
      </c>
    </row>
    <row r="15" spans="2:19" ht="16">
      <c r="B15" s="221">
        <f t="shared" si="3"/>
        <v>6</v>
      </c>
      <c r="C15" s="222">
        <f t="shared" si="6"/>
        <v>199515.82032731699</v>
      </c>
      <c r="D15" s="222">
        <f t="shared" si="7"/>
        <v>49082.440878577538</v>
      </c>
      <c r="E15" s="222">
        <f t="shared" si="4"/>
        <v>1307811.8003592971</v>
      </c>
      <c r="F15" s="222">
        <f t="shared" si="0"/>
        <v>1196049.0713013371</v>
      </c>
      <c r="G15" s="218">
        <f t="shared" si="1"/>
        <v>6</v>
      </c>
      <c r="H15" s="223">
        <f t="shared" si="5"/>
        <v>203296.52153950467</v>
      </c>
      <c r="I15" s="220">
        <f t="shared" si="2"/>
        <v>2672216.5997915608</v>
      </c>
      <c r="J15" s="151"/>
      <c r="O15" s="245"/>
      <c r="P15" s="246" t="s">
        <v>131</v>
      </c>
      <c r="Q15" s="247">
        <v>4262</v>
      </c>
      <c r="R15" s="247">
        <f>Q15*12</f>
        <v>51144</v>
      </c>
      <c r="S15" s="5" t="s">
        <v>132</v>
      </c>
    </row>
    <row r="16" spans="2:19" ht="16">
      <c r="B16" s="221">
        <f t="shared" si="3"/>
        <v>7</v>
      </c>
      <c r="C16" s="222">
        <f t="shared" si="6"/>
        <v>202508.55763222673</v>
      </c>
      <c r="D16" s="222">
        <f t="shared" si="7"/>
        <v>59673.948453078629</v>
      </c>
      <c r="E16" s="222">
        <f t="shared" si="4"/>
        <v>1569994.3064446026</v>
      </c>
      <c r="F16" s="222">
        <f t="shared" si="0"/>
        <v>1414606.9312871161</v>
      </c>
      <c r="G16" s="218">
        <f t="shared" si="1"/>
        <v>7</v>
      </c>
      <c r="H16" s="223">
        <f t="shared" si="5"/>
        <v>206345.96936259721</v>
      </c>
      <c r="I16" s="220">
        <f t="shared" si="2"/>
        <v>2531150.0286889151</v>
      </c>
      <c r="Q16" s="4"/>
      <c r="R16" s="4"/>
    </row>
    <row r="17" spans="2:25" ht="16">
      <c r="B17" s="221">
        <f t="shared" si="3"/>
        <v>8</v>
      </c>
      <c r="C17" s="222">
        <f t="shared" si="6"/>
        <v>205546.18599671012</v>
      </c>
      <c r="D17" s="222">
        <f>(E16+C17/2)*(1-$D$7)*$D$6</f>
        <v>70841.699366409259</v>
      </c>
      <c r="E17" s="222">
        <f t="shared" si="4"/>
        <v>1846382.191807722</v>
      </c>
      <c r="F17" s="222">
        <f t="shared" si="0"/>
        <v>1639054.0104557632</v>
      </c>
      <c r="G17" s="218">
        <f t="shared" si="1"/>
        <v>8</v>
      </c>
      <c r="H17" s="223">
        <f t="shared" si="5"/>
        <v>209441.15890303615</v>
      </c>
      <c r="I17" s="220">
        <f t="shared" si="2"/>
        <v>2383364.4420910012</v>
      </c>
      <c r="J17" s="151"/>
      <c r="P17" s="5" t="s">
        <v>133</v>
      </c>
      <c r="Q17" s="4" t="s">
        <v>98</v>
      </c>
      <c r="R17" s="4" t="s">
        <v>126</v>
      </c>
    </row>
    <row r="18" spans="2:25" ht="16">
      <c r="B18" s="221">
        <f t="shared" si="3"/>
        <v>9</v>
      </c>
      <c r="C18" s="222">
        <f t="shared" si="6"/>
        <v>208629.37878666076</v>
      </c>
      <c r="D18" s="222">
        <f>(E17+C18/2)*(1-$D$7)*$D$6</f>
        <v>82612.012918864566</v>
      </c>
      <c r="E18" s="222">
        <f t="shared" si="4"/>
        <v>2137623.5835132473</v>
      </c>
      <c r="F18" s="222">
        <f t="shared" si="0"/>
        <v>1869548.9986049645</v>
      </c>
      <c r="G18" s="218">
        <f t="shared" si="1"/>
        <v>9</v>
      </c>
      <c r="H18" s="223">
        <f t="shared" si="5"/>
        <v>212582.77628658168</v>
      </c>
      <c r="I18" s="220">
        <f t="shared" si="2"/>
        <v>2228642.0921052308</v>
      </c>
      <c r="J18" s="151"/>
      <c r="K18" s="151"/>
      <c r="L18" s="151"/>
      <c r="M18" s="151"/>
      <c r="P18" s="246" t="s">
        <v>134</v>
      </c>
      <c r="Q18" s="247">
        <f>R18/12</f>
        <v>2343.25</v>
      </c>
      <c r="R18" s="247">
        <v>28119</v>
      </c>
    </row>
    <row r="19" spans="2:25" ht="17" thickBot="1">
      <c r="B19" s="221">
        <f t="shared" si="3"/>
        <v>10</v>
      </c>
      <c r="C19" s="222">
        <f t="shared" si="6"/>
        <v>211758.81946846066</v>
      </c>
      <c r="D19" s="222">
        <f t="shared" si="7"/>
        <v>95012.351764030696</v>
      </c>
      <c r="E19" s="222">
        <f t="shared" si="4"/>
        <v>2444394.7547457386</v>
      </c>
      <c r="F19" s="222">
        <f t="shared" si="0"/>
        <v>2106254.8615579889</v>
      </c>
      <c r="G19" s="218">
        <f t="shared" si="1"/>
        <v>10</v>
      </c>
      <c r="H19" s="223">
        <f t="shared" si="5"/>
        <v>215771.51793088039</v>
      </c>
      <c r="I19" s="220">
        <f t="shared" si="2"/>
        <v>2066758.9925994326</v>
      </c>
      <c r="J19" s="151"/>
      <c r="K19" s="151"/>
      <c r="L19" s="151"/>
      <c r="M19" s="151"/>
    </row>
    <row r="20" spans="2:25" ht="16">
      <c r="B20" s="221">
        <f t="shared" si="3"/>
        <v>11</v>
      </c>
      <c r="C20" s="222">
        <f t="shared" si="6"/>
        <v>214935.20176048754</v>
      </c>
      <c r="D20" s="222">
        <f t="shared" si="7"/>
        <v>108071.37076076034</v>
      </c>
      <c r="E20" s="222">
        <f t="shared" si="4"/>
        <v>2767401.3272669865</v>
      </c>
      <c r="F20" s="222">
        <f t="shared" si="0"/>
        <v>2349338.9563846737</v>
      </c>
      <c r="G20" s="218">
        <f t="shared" si="1"/>
        <v>11</v>
      </c>
      <c r="H20" s="223">
        <f t="shared" si="5"/>
        <v>219008.09069984357</v>
      </c>
      <c r="I20" s="220">
        <f t="shared" si="2"/>
        <v>1897484.750109199</v>
      </c>
      <c r="J20" s="151"/>
      <c r="K20" s="151"/>
      <c r="L20" s="151"/>
      <c r="M20" s="151"/>
      <c r="P20" s="57" t="s">
        <v>135</v>
      </c>
      <c r="Q20" s="189"/>
      <c r="R20" s="224">
        <f>80000*12</f>
        <v>960000</v>
      </c>
    </row>
    <row r="21" spans="2:25" ht="17" thickBot="1">
      <c r="B21" s="221">
        <f t="shared" si="3"/>
        <v>12</v>
      </c>
      <c r="C21" s="222">
        <f t="shared" si="6"/>
        <v>218159.22978689484</v>
      </c>
      <c r="D21" s="222">
        <f t="shared" si="7"/>
        <v>121818.96790049438</v>
      </c>
      <c r="E21" s="222">
        <f t="shared" si="4"/>
        <v>3107379.5249543758</v>
      </c>
      <c r="F21" s="222">
        <f t="shared" si="0"/>
        <v>2598973.1497271326</v>
      </c>
      <c r="G21" s="218">
        <f t="shared" si="1"/>
        <v>12</v>
      </c>
      <c r="H21" s="223">
        <f t="shared" si="5"/>
        <v>222293.2120603412</v>
      </c>
      <c r="I21" s="220">
        <f t="shared" si="2"/>
        <v>1720582.3902899059</v>
      </c>
      <c r="J21" s="151"/>
      <c r="K21" s="151"/>
      <c r="L21" s="151"/>
      <c r="M21" s="151"/>
      <c r="P21" s="63" t="s">
        <v>136</v>
      </c>
      <c r="Q21" s="225">
        <v>0.8</v>
      </c>
      <c r="R21" s="226">
        <f>R20*Q21</f>
        <v>768000</v>
      </c>
    </row>
    <row r="22" spans="2:25" ht="16">
      <c r="B22" s="221">
        <f t="shared" si="3"/>
        <v>13</v>
      </c>
      <c r="C22" s="222">
        <f t="shared" si="6"/>
        <v>221431.61823369825</v>
      </c>
      <c r="D22" s="222">
        <f t="shared" si="7"/>
        <v>136286.33739791639</v>
      </c>
      <c r="E22" s="222">
        <f t="shared" si="4"/>
        <v>3465097.4805859905</v>
      </c>
      <c r="F22" s="222">
        <f t="shared" si="0"/>
        <v>2855333.9393138429</v>
      </c>
      <c r="G22" s="218">
        <f t="shared" si="1"/>
        <v>13</v>
      </c>
      <c r="H22" s="223">
        <f t="shared" si="5"/>
        <v>225627.61024124629</v>
      </c>
      <c r="I22" s="220">
        <f t="shared" si="2"/>
        <v>1535808.179797811</v>
      </c>
      <c r="J22" s="151"/>
      <c r="K22" s="151"/>
      <c r="L22" s="151"/>
      <c r="M22" s="151"/>
      <c r="P22" s="48" t="s">
        <v>137</v>
      </c>
      <c r="R22" s="227">
        <f>R13</f>
        <v>86376</v>
      </c>
      <c r="S22" s="5" t="s">
        <v>138</v>
      </c>
    </row>
    <row r="23" spans="2:25" ht="16">
      <c r="B23" s="221">
        <f t="shared" si="3"/>
        <v>14</v>
      </c>
      <c r="C23" s="222">
        <f t="shared" si="6"/>
        <v>224753.09250720369</v>
      </c>
      <c r="D23" s="222">
        <f t="shared" si="7"/>
        <v>151506.02503665673</v>
      </c>
      <c r="E23" s="222">
        <f t="shared" si="4"/>
        <v>3841356.5981298508</v>
      </c>
      <c r="F23" s="222">
        <f t="shared" si="0"/>
        <v>3118602.5787480385</v>
      </c>
      <c r="G23" s="218">
        <f t="shared" si="1"/>
        <v>14</v>
      </c>
      <c r="H23" s="223">
        <f t="shared" si="5"/>
        <v>229012.02439486497</v>
      </c>
      <c r="I23" s="220">
        <f t="shared" si="2"/>
        <v>1342911.4434816716</v>
      </c>
      <c r="J23" s="151"/>
      <c r="K23" s="151"/>
      <c r="L23" s="151"/>
      <c r="M23" s="151"/>
      <c r="P23" s="48" t="s">
        <v>139</v>
      </c>
      <c r="R23" s="227">
        <v>17900</v>
      </c>
      <c r="S23" s="5" t="str">
        <f>S22</f>
        <v>juster så det passer</v>
      </c>
    </row>
    <row r="24" spans="2:25" ht="16">
      <c r="B24" s="221">
        <f t="shared" si="3"/>
        <v>15</v>
      </c>
      <c r="C24" s="222">
        <f t="shared" si="6"/>
        <v>228124.38889481174</v>
      </c>
      <c r="D24" s="222">
        <f t="shared" si="7"/>
        <v>167511.98586564683</v>
      </c>
      <c r="E24" s="222">
        <f t="shared" si="4"/>
        <v>4236992.9728903091</v>
      </c>
      <c r="F24" s="222">
        <f t="shared" si="0"/>
        <v>3388965.2056586128</v>
      </c>
      <c r="G24" s="218">
        <f t="shared" si="1"/>
        <v>15</v>
      </c>
      <c r="H24" s="223">
        <f t="shared" si="5"/>
        <v>232447.20476078792</v>
      </c>
      <c r="I24" s="220">
        <f t="shared" si="2"/>
        <v>1141634.376763267</v>
      </c>
      <c r="J24" s="151"/>
      <c r="K24" s="151"/>
      <c r="L24" s="151"/>
      <c r="M24" s="151"/>
      <c r="P24" s="48" t="s">
        <v>140</v>
      </c>
      <c r="R24" s="227">
        <f>26500/2+27000/2+383000/2+92000+H10</f>
        <v>498962.09523809527</v>
      </c>
      <c r="S24" s="5" t="s">
        <v>141</v>
      </c>
      <c r="W24" s="5" t="s">
        <v>76</v>
      </c>
      <c r="Y24" s="5" t="s">
        <v>76</v>
      </c>
    </row>
    <row r="25" spans="2:25" ht="17" thickBot="1">
      <c r="B25" s="221">
        <f t="shared" si="3"/>
        <v>16</v>
      </c>
      <c r="C25" s="222">
        <f t="shared" si="6"/>
        <v>231546.25472823388</v>
      </c>
      <c r="D25" s="222">
        <f t="shared" si="7"/>
        <v>184339.64434577493</v>
      </c>
      <c r="E25" s="222">
        <f t="shared" si="4"/>
        <v>4652878.8719643177</v>
      </c>
      <c r="F25" s="222">
        <f t="shared" si="0"/>
        <v>3666612.9733041669</v>
      </c>
      <c r="G25" s="218">
        <f t="shared" si="1"/>
        <v>16</v>
      </c>
      <c r="H25" s="223">
        <f t="shared" si="5"/>
        <v>235933.91283219971</v>
      </c>
      <c r="I25" s="220">
        <f t="shared" si="2"/>
        <v>931711.85308208887</v>
      </c>
      <c r="P25" s="48" t="s">
        <v>143</v>
      </c>
      <c r="R25" s="228">
        <f>K9</f>
        <v>164761.90476190476</v>
      </c>
      <c r="S25" s="5" t="s">
        <v>144</v>
      </c>
    </row>
    <row r="26" spans="2:25" ht="17" thickBot="1">
      <c r="B26" s="221">
        <f t="shared" si="3"/>
        <v>17</v>
      </c>
      <c r="C26" s="222">
        <f t="shared" si="6"/>
        <v>235019.44854915736</v>
      </c>
      <c r="D26" s="222">
        <f t="shared" si="7"/>
        <v>202025.95705071726</v>
      </c>
      <c r="E26" s="222">
        <f t="shared" si="4"/>
        <v>5089924.2775641922</v>
      </c>
      <c r="F26" s="222">
        <f t="shared" si="0"/>
        <v>3951742.1857232242</v>
      </c>
      <c r="G26" s="218">
        <f t="shared" si="1"/>
        <v>17</v>
      </c>
      <c r="H26" s="223">
        <f t="shared" si="5"/>
        <v>239472.92152468269</v>
      </c>
      <c r="I26" s="220">
        <f t="shared" si="2"/>
        <v>712871.22627625102</v>
      </c>
      <c r="P26" s="229" t="s">
        <v>145</v>
      </c>
      <c r="Q26" s="230"/>
      <c r="R26" s="231">
        <f>R21-R22-R23-R24-R25</f>
        <v>0</v>
      </c>
    </row>
    <row r="27" spans="2:25" ht="17" thickBot="1">
      <c r="B27" s="221">
        <f t="shared" si="3"/>
        <v>18</v>
      </c>
      <c r="C27" s="222">
        <f t="shared" si="6"/>
        <v>238544.74027739468</v>
      </c>
      <c r="D27" s="222">
        <f t="shared" si="7"/>
        <v>220609.47803021735</v>
      </c>
      <c r="E27" s="222">
        <f t="shared" si="4"/>
        <v>5549078.4958718047</v>
      </c>
      <c r="F27" s="222">
        <f t="shared" si="0"/>
        <v>4244554.4365261849</v>
      </c>
      <c r="G27" s="218">
        <f t="shared" si="1"/>
        <v>18</v>
      </c>
      <c r="H27" s="223">
        <f t="shared" si="5"/>
        <v>243065.01534755292</v>
      </c>
      <c r="I27" s="220">
        <f t="shared" si="2"/>
        <v>484832.12776838697</v>
      </c>
      <c r="J27" s="151"/>
    </row>
    <row r="28" spans="2:25" ht="16">
      <c r="B28" s="221">
        <f t="shared" si="3"/>
        <v>19</v>
      </c>
      <c r="C28" s="222">
        <f t="shared" si="6"/>
        <v>242122.91138155558</v>
      </c>
      <c r="D28" s="222">
        <f t="shared" si="7"/>
        <v>240130.42694867539</v>
      </c>
      <c r="E28" s="222">
        <f t="shared" si="4"/>
        <v>6031331.8342020353</v>
      </c>
      <c r="F28" s="222">
        <f t="shared" si="0"/>
        <v>4545256.7514271354</v>
      </c>
      <c r="G28" s="218">
        <f t="shared" si="1"/>
        <v>19</v>
      </c>
      <c r="H28" s="223">
        <f t="shared" si="5"/>
        <v>246710.99057776621</v>
      </c>
      <c r="I28" s="220">
        <f t="shared" si="2"/>
        <v>247306.25842192495</v>
      </c>
      <c r="J28" s="151"/>
      <c r="P28" s="232" t="s">
        <v>146</v>
      </c>
      <c r="Q28" s="233"/>
      <c r="R28" s="234">
        <f>R22+R23+R24+R25</f>
        <v>768000</v>
      </c>
    </row>
    <row r="29" spans="2:25" ht="17" thickBot="1">
      <c r="B29" s="221">
        <f t="shared" si="3"/>
        <v>20</v>
      </c>
      <c r="C29" s="222">
        <f t="shared" si="6"/>
        <v>245754.7550522789</v>
      </c>
      <c r="D29" s="222">
        <f t="shared" si="7"/>
        <v>260630.76011668821</v>
      </c>
      <c r="E29" s="222">
        <f t="shared" si="4"/>
        <v>6537717.3493710021</v>
      </c>
      <c r="F29" s="222">
        <f t="shared" si="0"/>
        <v>4854061.7346163057</v>
      </c>
      <c r="G29" s="218">
        <f t="shared" si="1"/>
        <v>20</v>
      </c>
      <c r="H29" s="223">
        <f t="shared" si="5"/>
        <v>250411.65543643269</v>
      </c>
      <c r="I29" s="235">
        <f t="shared" si="2"/>
        <v>-2.8250703265075572</v>
      </c>
      <c r="J29" s="151"/>
      <c r="P29" s="236" t="s">
        <v>147</v>
      </c>
      <c r="Q29" s="237"/>
      <c r="R29" s="238">
        <f>R28/R20</f>
        <v>0.8</v>
      </c>
    </row>
    <row r="30" spans="2:25" ht="16">
      <c r="B30" s="221">
        <f t="shared" si="3"/>
        <v>21</v>
      </c>
      <c r="C30" s="222">
        <f t="shared" si="6"/>
        <v>249441.07637806307</v>
      </c>
      <c r="D30" s="222">
        <f t="shared" si="7"/>
        <v>282154.24453816743</v>
      </c>
      <c r="E30" s="222">
        <f t="shared" si="4"/>
        <v>7069312.6702872328</v>
      </c>
      <c r="F30" s="222">
        <f t="shared" si="0"/>
        <v>5171187.7190766316</v>
      </c>
      <c r="G30" s="218">
        <f t="shared" si="1"/>
        <v>21</v>
      </c>
      <c r="H30" s="223">
        <f t="shared" si="5"/>
        <v>254167.83026797915</v>
      </c>
      <c r="I30" s="220">
        <f t="shared" si="2"/>
        <v>-257399.92940689734</v>
      </c>
    </row>
    <row r="31" spans="2:25" ht="16">
      <c r="B31" s="221">
        <f t="shared" si="3"/>
        <v>22</v>
      </c>
      <c r="C31" s="222">
        <f t="shared" si="6"/>
        <v>253182.69252373397</v>
      </c>
      <c r="D31" s="222">
        <f t="shared" si="7"/>
        <v>304746.53510085441</v>
      </c>
      <c r="E31" s="222">
        <f t="shared" si="4"/>
        <v>7627241.8979118206</v>
      </c>
      <c r="F31" s="222">
        <f t="shared" si="0"/>
        <v>5496858.9209507406</v>
      </c>
      <c r="G31" s="218">
        <f t="shared" si="1"/>
        <v>22</v>
      </c>
      <c r="H31" s="223">
        <f t="shared" si="5"/>
        <v>257980.34772199881</v>
      </c>
      <c r="I31" s="220">
        <f t="shared" si="2"/>
        <v>-525198.4496529334</v>
      </c>
      <c r="J31" s="151"/>
      <c r="P31" s="240" t="s">
        <v>151</v>
      </c>
      <c r="Q31" s="241"/>
      <c r="R31" s="242">
        <f>E2</f>
        <v>19291.939614646708</v>
      </c>
      <c r="S31" s="241" t="s">
        <v>152</v>
      </c>
    </row>
    <row r="32" spans="2:25" ht="16">
      <c r="B32" s="221">
        <f t="shared" si="3"/>
        <v>23</v>
      </c>
      <c r="C32" s="222">
        <f t="shared" si="6"/>
        <v>256980.43291158995</v>
      </c>
      <c r="D32" s="222">
        <f t="shared" si="7"/>
        <v>328455.2550434685</v>
      </c>
      <c r="E32" s="222">
        <f t="shared" si="4"/>
        <v>8212677.5858668787</v>
      </c>
      <c r="F32" s="222">
        <f t="shared" si="0"/>
        <v>5831305.5980674662</v>
      </c>
      <c r="G32" s="218">
        <f t="shared" si="1"/>
        <v>23</v>
      </c>
      <c r="H32" s="223">
        <f t="shared" si="5"/>
        <v>261850.05293782876</v>
      </c>
      <c r="I32" s="220">
        <f t="shared" si="2"/>
        <v>-803720.60011901823</v>
      </c>
      <c r="J32" s="151"/>
      <c r="P32" s="240" t="s">
        <v>151</v>
      </c>
      <c r="Q32" s="241"/>
      <c r="R32" s="242">
        <f>R31*0.48</f>
        <v>9260.1310150304198</v>
      </c>
      <c r="S32" s="241" t="s">
        <v>153</v>
      </c>
      <c r="T32" s="5" t="s">
        <v>154</v>
      </c>
    </row>
    <row r="33" spans="2:25" ht="13" customHeight="1">
      <c r="B33" s="221">
        <f t="shared" si="3"/>
        <v>24</v>
      </c>
      <c r="C33" s="222">
        <f t="shared" si="6"/>
        <v>260835.13940526376</v>
      </c>
      <c r="D33" s="222">
        <f t="shared" si="7"/>
        <v>353330.07983836881</v>
      </c>
      <c r="E33" s="222">
        <f t="shared" si="4"/>
        <v>8826842.8051105123</v>
      </c>
      <c r="F33" s="222">
        <f t="shared" si="0"/>
        <v>6174764.2127399994</v>
      </c>
      <c r="G33" s="218">
        <f t="shared" si="1"/>
        <v>24</v>
      </c>
      <c r="H33" s="223">
        <f t="shared" si="5"/>
        <v>265777.80373189616</v>
      </c>
      <c r="I33" s="220">
        <f t="shared" si="2"/>
        <v>-1093297.6512963523</v>
      </c>
      <c r="P33" s="240" t="s">
        <v>151</v>
      </c>
      <c r="Q33" s="241"/>
      <c r="R33" s="242" t="e">
        <f>#REF!</f>
        <v>#REF!</v>
      </c>
      <c r="S33" s="241" t="s">
        <v>153</v>
      </c>
      <c r="T33" s="264" t="s">
        <v>155</v>
      </c>
      <c r="U33" s="264"/>
      <c r="V33" s="264"/>
    </row>
    <row r="34" spans="2:25" ht="16">
      <c r="B34" s="221">
        <f t="shared" si="3"/>
        <v>25</v>
      </c>
      <c r="C34" s="222">
        <f t="shared" si="6"/>
        <v>264747.66649634269</v>
      </c>
      <c r="D34" s="222">
        <f t="shared" si="7"/>
        <v>379422.8246344903</v>
      </c>
      <c r="E34" s="222">
        <f t="shared" si="4"/>
        <v>9471013.2962413449</v>
      </c>
      <c r="F34" s="222">
        <f t="shared" si="0"/>
        <v>6527477.5989507511</v>
      </c>
      <c r="G34" s="218">
        <f t="shared" si="1"/>
        <v>25</v>
      </c>
      <c r="H34" s="223">
        <f t="shared" si="5"/>
        <v>269764.4707878746</v>
      </c>
      <c r="I34" s="220">
        <f t="shared" si="2"/>
        <v>-1394270.1730050272</v>
      </c>
      <c r="T34" s="264"/>
      <c r="U34" s="264"/>
      <c r="V34" s="264"/>
      <c r="Y34" s="5" t="s">
        <v>76</v>
      </c>
    </row>
    <row r="35" spans="2:25" ht="16">
      <c r="B35" s="221">
        <f t="shared" si="3"/>
        <v>26</v>
      </c>
      <c r="C35" s="222">
        <f t="shared" si="6"/>
        <v>268718.88149378781</v>
      </c>
      <c r="D35" s="222">
        <f t="shared" si="7"/>
        <v>406787.53541145194</v>
      </c>
      <c r="E35" s="222">
        <f t="shared" si="4"/>
        <v>10146519.713146586</v>
      </c>
      <c r="F35" s="222">
        <f t="shared" si="0"/>
        <v>6889695.1340411734</v>
      </c>
      <c r="G35" s="218">
        <f t="shared" si="1"/>
        <v>26</v>
      </c>
      <c r="H35" s="223">
        <f t="shared" si="5"/>
        <v>273810.93784969271</v>
      </c>
      <c r="I35" s="220">
        <f t="shared" si="2"/>
        <v>-1706988.2839161581</v>
      </c>
      <c r="K35" s="5" t="s">
        <v>148</v>
      </c>
      <c r="T35" s="264"/>
      <c r="U35" s="264"/>
      <c r="V35" s="264"/>
    </row>
    <row r="36" spans="2:25" ht="16">
      <c r="B36" s="221">
        <f t="shared" si="3"/>
        <v>27</v>
      </c>
      <c r="C36" s="222">
        <f t="shared" si="6"/>
        <v>272749.66471619462</v>
      </c>
      <c r="D36" s="222">
        <f t="shared" si="7"/>
        <v>435480.58400212333</v>
      </c>
      <c r="E36" s="222">
        <f t="shared" si="4"/>
        <v>10854749.961864905</v>
      </c>
      <c r="F36" s="222">
        <f t="shared" si="0"/>
        <v>7261672.9150278755</v>
      </c>
      <c r="G36" s="218">
        <f t="shared" si="1"/>
        <v>27</v>
      </c>
      <c r="H36" s="223">
        <f t="shared" si="5"/>
        <v>277918.10191743809</v>
      </c>
      <c r="I36" s="220">
        <f t="shared" si="2"/>
        <v>-2031811.9076127671</v>
      </c>
      <c r="K36" s="5" t="s">
        <v>149</v>
      </c>
      <c r="T36" s="264"/>
      <c r="U36" s="264"/>
      <c r="V36" s="264"/>
    </row>
    <row r="37" spans="2:25" ht="16">
      <c r="B37" s="221">
        <f t="shared" si="3"/>
        <v>28</v>
      </c>
      <c r="C37" s="222">
        <f t="shared" si="6"/>
        <v>276840.90968693752</v>
      </c>
      <c r="D37" s="222">
        <f t="shared" si="7"/>
        <v>465560.76714759966</v>
      </c>
      <c r="E37" s="222">
        <f t="shared" si="4"/>
        <v>11597151.638699442</v>
      </c>
      <c r="F37" s="222">
        <f t="shared" si="0"/>
        <v>7643673.9396697357</v>
      </c>
      <c r="G37" s="218">
        <f t="shared" si="1"/>
        <v>28</v>
      </c>
      <c r="H37" s="223">
        <f t="shared" si="5"/>
        <v>282086.87344619964</v>
      </c>
      <c r="I37" s="220">
        <f t="shared" si="2"/>
        <v>-2369111.0353585412</v>
      </c>
      <c r="K37" s="5" t="s">
        <v>150</v>
      </c>
      <c r="T37" s="264"/>
      <c r="U37" s="264"/>
      <c r="V37" s="264"/>
    </row>
    <row r="38" spans="2:25" ht="16">
      <c r="B38" s="221">
        <f t="shared" si="3"/>
        <v>29</v>
      </c>
      <c r="C38" s="222">
        <f t="shared" si="6"/>
        <v>280993.52333224157</v>
      </c>
      <c r="D38" s="222">
        <f t="shared" si="7"/>
        <v>497089.40975548164</v>
      </c>
      <c r="E38" s="222">
        <f t="shared" si="4"/>
        <v>12375234.571787165</v>
      </c>
      <c r="F38" s="222">
        <f t="shared" si="0"/>
        <v>8035968.2924140124</v>
      </c>
      <c r="G38" s="218">
        <f t="shared" si="1"/>
        <v>29</v>
      </c>
      <c r="H38" s="223">
        <f t="shared" si="5"/>
        <v>286318.17654789262</v>
      </c>
      <c r="I38" s="220">
        <f t="shared" si="2"/>
        <v>-2719265.995747935</v>
      </c>
      <c r="T38" s="264"/>
      <c r="U38" s="264"/>
      <c r="V38" s="264"/>
    </row>
    <row r="39" spans="2:25" ht="16">
      <c r="B39" s="221">
        <f t="shared" si="3"/>
        <v>30</v>
      </c>
      <c r="C39" s="222">
        <f t="shared" si="6"/>
        <v>285208.42618222517</v>
      </c>
      <c r="D39" s="222">
        <f t="shared" si="7"/>
        <v>530130.4725395951</v>
      </c>
      <c r="E39" s="222">
        <f t="shared" si="4"/>
        <v>13190573.470508985</v>
      </c>
      <c r="F39" s="222">
        <f t="shared" si="0"/>
        <v>8438833.3353529293</v>
      </c>
      <c r="G39" s="218">
        <f t="shared" si="1"/>
        <v>30</v>
      </c>
      <c r="H39" s="223">
        <f t="shared" si="5"/>
        <v>290612.949196111</v>
      </c>
      <c r="I39" s="220">
        <f t="shared" si="2"/>
        <v>-3082667.7314155377</v>
      </c>
    </row>
    <row r="40" spans="2:25" ht="16">
      <c r="B40" s="221">
        <f t="shared" si="3"/>
        <v>31</v>
      </c>
      <c r="C40" s="222">
        <f t="shared" si="6"/>
        <v>289486.55257495854</v>
      </c>
      <c r="D40" s="222">
        <f t="shared" si="7"/>
        <v>564750.66422683035</v>
      </c>
      <c r="E40" s="222">
        <f t="shared" si="4"/>
        <v>14044810.687310774</v>
      </c>
      <c r="F40" s="222">
        <f t="shared" si="0"/>
        <v>8852553.9043257143</v>
      </c>
      <c r="G40" s="218">
        <f t="shared" si="1"/>
        <v>31</v>
      </c>
      <c r="H40" s="223">
        <f t="shared" si="5"/>
        <v>294972.14343405265</v>
      </c>
      <c r="I40" s="220">
        <f t="shared" si="2"/>
        <v>-3459718.0829871888</v>
      </c>
    </row>
    <row r="41" spans="2:25" ht="16">
      <c r="B41" s="221">
        <f t="shared" si="3"/>
        <v>32</v>
      </c>
      <c r="C41" s="222">
        <f t="shared" si="6"/>
        <v>293828.85086358286</v>
      </c>
      <c r="D41" s="222">
        <f t="shared" si="7"/>
        <v>601019.55852464761</v>
      </c>
      <c r="E41" s="222">
        <f t="shared" si="4"/>
        <v>14939659.096699005</v>
      </c>
      <c r="F41" s="222">
        <f t="shared" si="0"/>
        <v>9277422.5103048123</v>
      </c>
      <c r="G41" s="218">
        <f t="shared" si="1"/>
        <v>32</v>
      </c>
      <c r="H41" s="223">
        <f t="shared" si="5"/>
        <v>299396.7255855634</v>
      </c>
      <c r="I41" s="220">
        <f t="shared" si="2"/>
        <v>-3850830.0804600213</v>
      </c>
    </row>
    <row r="42" spans="2:25" ht="16">
      <c r="B42" s="221">
        <f t="shared" si="3"/>
        <v>33</v>
      </c>
      <c r="C42" s="222">
        <f t="shared" si="6"/>
        <v>298236.28362653655</v>
      </c>
      <c r="D42" s="222">
        <f t="shared" si="7"/>
        <v>639009.71605099482</v>
      </c>
      <c r="E42" s="222">
        <f t="shared" si="4"/>
        <v>15876905.096376536</v>
      </c>
      <c r="F42" s="222">
        <f t="shared" si="0"/>
        <v>9713739.5462085679</v>
      </c>
      <c r="G42" s="218">
        <f t="shared" si="1"/>
        <v>33</v>
      </c>
      <c r="H42" s="223">
        <f t="shared" si="5"/>
        <v>303887.6764693468</v>
      </c>
      <c r="I42" s="220">
        <f t="shared" si="2"/>
        <v>-4256428.2422034005</v>
      </c>
    </row>
    <row r="43" spans="2:25" ht="16">
      <c r="B43" s="221">
        <f t="shared" si="3"/>
        <v>34</v>
      </c>
      <c r="C43" s="222">
        <f t="shared" si="6"/>
        <v>302709.82788093458</v>
      </c>
      <c r="D43" s="222">
        <f t="shared" si="7"/>
        <v>678796.81143692508</v>
      </c>
      <c r="E43" s="222">
        <f t="shared" si="4"/>
        <v>16858411.735694394</v>
      </c>
      <c r="F43" s="222">
        <f t="shared" si="0"/>
        <v>10161813.499286674</v>
      </c>
      <c r="G43" s="218">
        <f t="shared" si="1"/>
        <v>34</v>
      </c>
      <c r="H43" s="223">
        <f t="shared" si="5"/>
        <v>308445.99161638698</v>
      </c>
      <c r="I43" s="220">
        <f t="shared" si="2"/>
        <v>-4676948.8817776619</v>
      </c>
    </row>
    <row r="44" spans="2:25" ht="16">
      <c r="B44" s="221">
        <f t="shared" si="3"/>
        <v>35</v>
      </c>
      <c r="C44" s="222">
        <f t="shared" si="6"/>
        <v>307250.47529914859</v>
      </c>
      <c r="D44" s="222">
        <f t="shared" si="7"/>
        <v>720459.76582111709</v>
      </c>
      <c r="E44" s="222">
        <f t="shared" si="4"/>
        <v>17886121.976814661</v>
      </c>
      <c r="F44" s="222">
        <f t="shared" si="0"/>
        <v>10621961.169228513</v>
      </c>
      <c r="G44" s="218">
        <f t="shared" si="1"/>
        <v>35</v>
      </c>
      <c r="H44" s="223">
        <f t="shared" si="5"/>
        <v>313072.68149063276</v>
      </c>
      <c r="I44" s="220">
        <f t="shared" si="2"/>
        <v>-5112840.4227726031</v>
      </c>
    </row>
    <row r="45" spans="2:25" ht="16">
      <c r="B45" s="221">
        <f t="shared" si="3"/>
        <v>36</v>
      </c>
      <c r="C45" s="222">
        <f t="shared" si="6"/>
        <v>311859.23242863576</v>
      </c>
      <c r="D45" s="222">
        <f t="shared" si="7"/>
        <v>764080.88496477716</v>
      </c>
      <c r="E45" s="222">
        <f t="shared" si="4"/>
        <v>18962062.094208077</v>
      </c>
      <c r="F45" s="222">
        <f t="shared" si="0"/>
        <v>11094507.89214859</v>
      </c>
      <c r="G45" s="218">
        <f t="shared" si="1"/>
        <v>36</v>
      </c>
      <c r="H45" s="223">
        <f t="shared" si="5"/>
        <v>317768.77171299222</v>
      </c>
      <c r="I45" s="220">
        <f t="shared" si="2"/>
        <v>-5564563.7218728606</v>
      </c>
    </row>
    <row r="46" spans="2:25" ht="16">
      <c r="B46" s="221">
        <f t="shared" si="3"/>
        <v>37</v>
      </c>
      <c r="C46" s="222">
        <f t="shared" si="6"/>
        <v>316537.12091506529</v>
      </c>
      <c r="D46" s="222">
        <f t="shared" si="7"/>
        <v>809746.00322508859</v>
      </c>
      <c r="E46" s="222">
        <f t="shared" si="4"/>
        <v>20088345.218348231</v>
      </c>
      <c r="F46" s="222">
        <f t="shared" si="0"/>
        <v>11579787.770607447</v>
      </c>
      <c r="G46" s="218">
        <f t="shared" si="1"/>
        <v>37</v>
      </c>
      <c r="H46" s="223">
        <f t="shared" si="5"/>
        <v>322535.30328868708</v>
      </c>
      <c r="I46" s="220">
        <f t="shared" si="2"/>
        <v>-6032592.4003626201</v>
      </c>
    </row>
    <row r="47" spans="2:25" ht="16">
      <c r="B47" s="221">
        <f t="shared" si="3"/>
        <v>38</v>
      </c>
      <c r="C47" s="222">
        <f t="shared" si="6"/>
        <v>321285.17772879126</v>
      </c>
      <c r="D47" s="222">
        <f t="shared" si="7"/>
        <v>857544.63363545481</v>
      </c>
      <c r="E47" s="222">
        <f t="shared" si="4"/>
        <v>21267175.029712476</v>
      </c>
      <c r="F47" s="222">
        <f t="shared" si="0"/>
        <v>12078143.909830688</v>
      </c>
      <c r="G47" s="218">
        <f t="shared" si="1"/>
        <v>38</v>
      </c>
      <c r="H47" s="223">
        <f t="shared" si="5"/>
        <v>327373.33283801738</v>
      </c>
      <c r="I47" s="220">
        <f t="shared" si="2"/>
        <v>-6517413.1842875592</v>
      </c>
    </row>
    <row r="48" spans="2:25" ht="16">
      <c r="B48" s="221">
        <f t="shared" si="3"/>
        <v>39</v>
      </c>
      <c r="C48" s="222">
        <f t="shared" si="6"/>
        <v>326104.4553947231</v>
      </c>
      <c r="D48" s="222">
        <f t="shared" si="7"/>
        <v>907570.1243513067</v>
      </c>
      <c r="E48" s="222">
        <f t="shared" si="4"/>
        <v>22500849.609458506</v>
      </c>
      <c r="F48" s="222">
        <f t="shared" si="0"/>
        <v>12589928.660293097</v>
      </c>
      <c r="G48" s="218">
        <f t="shared" si="1"/>
        <v>39</v>
      </c>
      <c r="H48" s="223">
        <f t="shared" si="5"/>
        <v>332283.93283058761</v>
      </c>
      <c r="I48" s="220">
        <f t="shared" si="2"/>
        <v>-7019526.2534975065</v>
      </c>
    </row>
    <row r="49" spans="2:9" ht="16">
      <c r="B49" s="221">
        <f t="shared" si="3"/>
        <v>40</v>
      </c>
      <c r="C49" s="222">
        <f t="shared" si="6"/>
        <v>330996.02222564392</v>
      </c>
      <c r="D49" s="222">
        <f t="shared" si="7"/>
        <v>959919.82173119567</v>
      </c>
      <c r="E49" s="222">
        <f t="shared" si="4"/>
        <v>23791765.453415345</v>
      </c>
      <c r="F49" s="222">
        <f t="shared" si="0"/>
        <v>13115503.866839394</v>
      </c>
      <c r="G49" s="218">
        <f t="shared" si="1"/>
        <v>40</v>
      </c>
      <c r="H49" s="223">
        <f t="shared" si="5"/>
        <v>337268.19182304642</v>
      </c>
      <c r="I49" s="220">
        <f t="shared" si="2"/>
        <v>-7539445.599799037</v>
      </c>
    </row>
    <row r="50" spans="2:9" ht="16">
      <c r="B50" s="221">
        <f t="shared" si="3"/>
        <v>41</v>
      </c>
      <c r="C50" s="222">
        <f t="shared" si="6"/>
        <v>335960.96255902853</v>
      </c>
      <c r="D50" s="222">
        <f t="shared" si="7"/>
        <v>1014695.2403343273</v>
      </c>
      <c r="E50" s="222">
        <f t="shared" si="4"/>
        <v>25142421.656308703</v>
      </c>
      <c r="F50" s="222">
        <f t="shared" si="0"/>
        <v>13655241.124517752</v>
      </c>
      <c r="G50" s="218">
        <f t="shared" si="1"/>
        <v>41</v>
      </c>
      <c r="H50" s="223">
        <f t="shared" si="5"/>
        <v>342327.2147003921</v>
      </c>
      <c r="I50" s="220">
        <f t="shared" si="2"/>
        <v>-8077699.3944530915</v>
      </c>
    </row>
    <row r="51" spans="2:9" ht="16">
      <c r="B51" s="221">
        <f t="shared" si="3"/>
        <v>42</v>
      </c>
      <c r="C51" s="222">
        <f t="shared" si="6"/>
        <v>341000.37699741393</v>
      </c>
      <c r="D51" s="222">
        <f t="shared" si="7"/>
        <v>1072002.2401275937</v>
      </c>
      <c r="E51" s="222">
        <f t="shared" si="4"/>
        <v>26555424.273433711</v>
      </c>
      <c r="F51" s="222">
        <f t="shared" si="0"/>
        <v>14209522.041306952</v>
      </c>
      <c r="G51" s="218">
        <f t="shared" si="1"/>
        <v>42</v>
      </c>
      <c r="H51" s="223">
        <f t="shared" si="5"/>
        <v>347462.12292089796</v>
      </c>
      <c r="I51" s="220">
        <f t="shared" si="2"/>
        <v>-8634830.3652587533</v>
      </c>
    </row>
    <row r="52" spans="2:9" ht="16">
      <c r="B52" s="221">
        <f t="shared" si="3"/>
        <v>43</v>
      </c>
      <c r="C52" s="222">
        <f t="shared" si="6"/>
        <v>346115.38265237509</v>
      </c>
      <c r="D52" s="222">
        <f t="shared" si="7"/>
        <v>1131951.2112075817</v>
      </c>
      <c r="E52" s="222">
        <f t="shared" si="4"/>
        <v>28033490.867293671</v>
      </c>
      <c r="F52" s="222">
        <f t="shared" si="0"/>
        <v>14778738.507922934</v>
      </c>
      <c r="G52" s="218">
        <f t="shared" si="1"/>
        <v>43</v>
      </c>
      <c r="H52" s="223">
        <f t="shared" si="5"/>
        <v>352674.05476471141</v>
      </c>
      <c r="I52" s="220">
        <f t="shared" si="2"/>
        <v>-9211396.1834704764</v>
      </c>
    </row>
    <row r="53" spans="2:9" ht="16">
      <c r="B53" s="221">
        <f t="shared" si="3"/>
        <v>44</v>
      </c>
      <c r="C53" s="222">
        <f t="shared" si="6"/>
        <v>351307.11339216068</v>
      </c>
      <c r="D53" s="222">
        <f t="shared" si="7"/>
        <v>1194657.266355966</v>
      </c>
      <c r="E53" s="222">
        <f t="shared" si="4"/>
        <v>29579455.247041795</v>
      </c>
      <c r="F53" s="222">
        <f t="shared" si="0"/>
        <v>15363292.974895515</v>
      </c>
      <c r="G53" s="218">
        <f t="shared" si="1"/>
        <v>44</v>
      </c>
      <c r="H53" s="223">
        <f t="shared" si="5"/>
        <v>357964.16558618203</v>
      </c>
      <c r="I53" s="220">
        <f t="shared" si="2"/>
        <v>-9807969.8608024158</v>
      </c>
    </row>
    <row r="54" spans="2:9" ht="16">
      <c r="B54" s="221">
        <f t="shared" si="3"/>
        <v>45</v>
      </c>
      <c r="C54" s="222">
        <f t="shared" si="6"/>
        <v>356576.72009304306</v>
      </c>
      <c r="D54" s="222">
        <f t="shared" si="7"/>
        <v>1260240.4417601903</v>
      </c>
      <c r="E54" s="222">
        <f t="shared" si="4"/>
        <v>31196272.408895027</v>
      </c>
      <c r="F54" s="222">
        <f t="shared" si="0"/>
        <v>15963598.737111146</v>
      </c>
      <c r="G54" s="218">
        <f t="shared" si="1"/>
        <v>45</v>
      </c>
      <c r="H54" s="223">
        <f t="shared" si="5"/>
        <v>363333.62806997471</v>
      </c>
      <c r="I54" s="220">
        <f t="shared" si="2"/>
        <v>-10425140.156780008</v>
      </c>
    </row>
    <row r="55" spans="2:9" ht="16">
      <c r="B55" s="221">
        <f t="shared" si="3"/>
        <v>46</v>
      </c>
      <c r="C55" s="222">
        <f t="shared" si="6"/>
        <v>361925.37089443865</v>
      </c>
      <c r="D55" s="222">
        <f t="shared" si="7"/>
        <v>1328825.9062453941</v>
      </c>
      <c r="E55" s="222">
        <f t="shared" si="4"/>
        <v>32887023.686034862</v>
      </c>
      <c r="F55" s="222">
        <f t="shared" si="0"/>
        <v>16580080.226022938</v>
      </c>
      <c r="G55" s="218">
        <f t="shared" si="1"/>
        <v>46</v>
      </c>
      <c r="H55" s="223">
        <f t="shared" si="5"/>
        <v>368783.63249102433</v>
      </c>
      <c r="I55" s="220">
        <f t="shared" si="2"/>
        <v>-11063511.99670561</v>
      </c>
    </row>
    <row r="56" spans="2:9" ht="16">
      <c r="B56" s="221">
        <f t="shared" si="3"/>
        <v>47</v>
      </c>
      <c r="C56" s="222">
        <f t="shared" si="6"/>
        <v>367354.25145785516</v>
      </c>
      <c r="D56" s="222">
        <f t="shared" si="7"/>
        <v>1400544.1793781966</v>
      </c>
      <c r="E56" s="222">
        <f t="shared" si="4"/>
        <v>34654922.11687091</v>
      </c>
      <c r="F56" s="222">
        <f t="shared" si="0"/>
        <v>17213173.309734467</v>
      </c>
      <c r="G56" s="218">
        <f t="shared" si="1"/>
        <v>47</v>
      </c>
      <c r="H56" s="223">
        <f t="shared" si="5"/>
        <v>374315.38697838964</v>
      </c>
      <c r="I56" s="220">
        <f t="shared" si="2"/>
        <v>-11723706.90051185</v>
      </c>
    </row>
    <row r="57" spans="2:9" ht="16">
      <c r="B57" s="221">
        <f t="shared" si="3"/>
        <v>48</v>
      </c>
      <c r="C57" s="222">
        <f t="shared" si="6"/>
        <v>372864.56522972294</v>
      </c>
      <c r="D57" s="222">
        <f t="shared" si="7"/>
        <v>1475531.3588182228</v>
      </c>
      <c r="E57" s="222">
        <f t="shared" si="4"/>
        <v>36503318.040918857</v>
      </c>
      <c r="F57" s="222">
        <f t="shared" si="0"/>
        <v>17863325.601169653</v>
      </c>
      <c r="G57" s="218">
        <f t="shared" si="1"/>
        <v>48</v>
      </c>
      <c r="H57" s="223">
        <f t="shared" si="5"/>
        <v>379930.11778306542</v>
      </c>
      <c r="I57" s="220">
        <f t="shared" si="2"/>
        <v>-12406363.422783356</v>
      </c>
    </row>
    <row r="58" spans="2:9" ht="16">
      <c r="B58" s="221">
        <f t="shared" si="3"/>
        <v>49</v>
      </c>
      <c r="C58" s="222">
        <f t="shared" si="6"/>
        <v>378457.53370816872</v>
      </c>
      <c r="D58" s="222">
        <f t="shared" si="7"/>
        <v>1553929.357309184</v>
      </c>
      <c r="E58" s="222">
        <f t="shared" si="4"/>
        <v>38435704.931936212</v>
      </c>
      <c r="F58" s="222">
        <f t="shared" si="0"/>
        <v>18530996.77454647</v>
      </c>
      <c r="G58" s="218">
        <f t="shared" si="1"/>
        <v>49</v>
      </c>
      <c r="H58" s="223">
        <f t="shared" si="5"/>
        <v>385629.06954981136</v>
      </c>
      <c r="I58" s="220">
        <f t="shared" si="2"/>
        <v>-13112137.604234723</v>
      </c>
    </row>
    <row r="59" spans="2:9" ht="16">
      <c r="B59" s="221">
        <f t="shared" si="3"/>
        <v>50</v>
      </c>
      <c r="C59" s="222">
        <f t="shared" si="6"/>
        <v>384134.39671379118</v>
      </c>
      <c r="D59" s="222">
        <f t="shared" si="7"/>
        <v>1635886.149717913</v>
      </c>
      <c r="E59" s="222">
        <f t="shared" si="4"/>
        <v>40455725.478367917</v>
      </c>
      <c r="F59" s="222">
        <f t="shared" si="0"/>
        <v>19216658.890378315</v>
      </c>
      <c r="G59" s="218">
        <f t="shared" si="1"/>
        <v>50</v>
      </c>
      <c r="H59" s="223">
        <f t="shared" si="5"/>
        <v>391413.50559305848</v>
      </c>
      <c r="I59" s="220">
        <f t="shared" si="2"/>
        <v>-13841703.434939945</v>
      </c>
    </row>
  </sheetData>
  <mergeCells count="1">
    <mergeCell ref="T33:V38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B0B6-6FC0-8240-A7EA-0C6BF1674DE0}">
  <sheetPr>
    <pageSetUpPr fitToPage="1"/>
  </sheetPr>
  <dimension ref="A1:AN386"/>
  <sheetViews>
    <sheetView zoomScale="120" zoomScaleNormal="120" workbookViewId="0">
      <selection activeCell="L34" sqref="L34"/>
    </sheetView>
  </sheetViews>
  <sheetFormatPr baseColWidth="10" defaultColWidth="8.83203125" defaultRowHeight="13"/>
  <cols>
    <col min="1" max="1" width="1.6640625" style="1" customWidth="1"/>
    <col min="2" max="2" width="51.83203125" style="5" customWidth="1"/>
    <col min="3" max="3" width="14" style="5" customWidth="1"/>
    <col min="4" max="4" width="14.5" style="4" customWidth="1"/>
    <col min="5" max="5" width="5.5" style="4" customWidth="1"/>
    <col min="6" max="6" width="37.5" style="4" customWidth="1"/>
    <col min="7" max="7" width="9.5" style="4" customWidth="1"/>
    <col min="8" max="8" width="12.1640625" style="4" customWidth="1"/>
    <col min="9" max="9" width="12.5" style="5" customWidth="1"/>
    <col min="10" max="10" width="13.5" style="5" customWidth="1"/>
    <col min="11" max="11" width="11.83203125" style="5" customWidth="1"/>
    <col min="12" max="12" width="14.5" style="5" customWidth="1"/>
    <col min="13" max="25" width="13.5" style="5" customWidth="1"/>
    <col min="26" max="27" width="11" style="5" customWidth="1"/>
    <col min="28" max="28" width="14.1640625" style="5" customWidth="1"/>
    <col min="29" max="40" width="11" style="5" customWidth="1"/>
    <col min="41" max="16384" width="8.83203125" style="5"/>
  </cols>
  <sheetData>
    <row r="1" spans="1:32" ht="19" thickBot="1">
      <c r="B1" s="2" t="s">
        <v>0</v>
      </c>
      <c r="C1" s="3" t="s">
        <v>156</v>
      </c>
      <c r="D1" s="2"/>
      <c r="F1" s="5"/>
      <c r="G1" s="5"/>
      <c r="H1" s="5"/>
    </row>
    <row r="2" spans="1:32" ht="14" thickBot="1">
      <c r="B2" s="6"/>
      <c r="C2" s="7" t="s">
        <v>2</v>
      </c>
      <c r="D2" s="8"/>
      <c r="F2" s="9"/>
      <c r="I2" s="254" t="str">
        <f>C2</f>
        <v>Person</v>
      </c>
      <c r="J2" s="255"/>
      <c r="K2" s="256"/>
      <c r="L2" s="256"/>
    </row>
    <row r="3" spans="1:32">
      <c r="B3" s="10" t="s">
        <v>3</v>
      </c>
      <c r="C3" s="11">
        <v>65500</v>
      </c>
      <c r="D3" s="12"/>
      <c r="F3" s="13"/>
      <c r="G3" s="14"/>
      <c r="H3" s="15"/>
      <c r="I3" s="257" t="s">
        <v>4</v>
      </c>
      <c r="J3" s="259" t="s">
        <v>5</v>
      </c>
      <c r="K3" s="261"/>
      <c r="L3" s="262"/>
    </row>
    <row r="4" spans="1:32" ht="14" thickBot="1">
      <c r="B4" s="16" t="s">
        <v>6</v>
      </c>
      <c r="C4" s="17">
        <f>58100+'Tom bo mangler (80%)'!D2</f>
        <v>289603.27537576051</v>
      </c>
      <c r="D4" s="12"/>
      <c r="F4" s="18" t="s">
        <v>7</v>
      </c>
      <c r="G4" s="19" t="s">
        <v>8</v>
      </c>
      <c r="H4" s="20" t="s">
        <v>9</v>
      </c>
      <c r="I4" s="258"/>
      <c r="J4" s="260"/>
      <c r="K4" s="261"/>
      <c r="L4" s="262"/>
    </row>
    <row r="5" spans="1:32">
      <c r="B5" s="16" t="s">
        <v>10</v>
      </c>
      <c r="C5" s="17">
        <v>53</v>
      </c>
      <c r="D5" s="21"/>
      <c r="F5" s="10" t="s">
        <v>11</v>
      </c>
      <c r="G5" s="22">
        <f>Bundskat</f>
        <v>0.1201</v>
      </c>
      <c r="H5" s="23">
        <f>Personfradrag</f>
        <v>51600</v>
      </c>
      <c r="I5" s="24">
        <f>IF(C35&gt;=0,C31+C35-H5,C31-H5)</f>
        <v>476496.72462423949</v>
      </c>
      <c r="J5" s="25">
        <f>+IF(I5&gt;0,G5*I5,0)</f>
        <v>57227.256627371164</v>
      </c>
      <c r="K5" s="4"/>
      <c r="L5" s="4"/>
      <c r="N5" s="4"/>
    </row>
    <row r="6" spans="1:32">
      <c r="B6" s="16" t="s">
        <v>12</v>
      </c>
      <c r="C6" s="26" t="s">
        <v>13</v>
      </c>
      <c r="D6" s="12"/>
      <c r="F6" s="16" t="s">
        <v>14</v>
      </c>
      <c r="G6" s="27">
        <f>Topskat</f>
        <v>0.15</v>
      </c>
      <c r="H6" s="28">
        <f>TopSkatGranse</f>
        <v>611800</v>
      </c>
      <c r="I6" s="29">
        <f>MAX((C70-$H$6),0)</f>
        <v>0</v>
      </c>
      <c r="J6" s="30">
        <f>G6*I6</f>
        <v>0</v>
      </c>
      <c r="K6" s="4"/>
      <c r="L6" s="9"/>
      <c r="N6" s="4"/>
    </row>
    <row r="7" spans="1:32">
      <c r="B7" s="16" t="s">
        <v>15</v>
      </c>
      <c r="C7" s="17">
        <v>0</v>
      </c>
      <c r="D7" s="12"/>
      <c r="F7" s="16" t="s">
        <v>16</v>
      </c>
      <c r="G7" s="27">
        <f>Sundhedsbidrag</f>
        <v>0</v>
      </c>
      <c r="H7" s="28">
        <f>Personfradrag</f>
        <v>51600</v>
      </c>
      <c r="I7" s="29">
        <f>($C$45+AB29)-(H7+AB43)</f>
        <v>391180.72462423949</v>
      </c>
      <c r="J7" s="30">
        <f>+IF(I7&gt;0,I7*G7,0)</f>
        <v>0</v>
      </c>
      <c r="K7" s="4"/>
      <c r="L7" s="9"/>
      <c r="N7" s="4"/>
    </row>
    <row r="8" spans="1:32">
      <c r="B8" s="16" t="s">
        <v>17</v>
      </c>
      <c r="C8" s="17">
        <v>0</v>
      </c>
      <c r="D8" s="31"/>
      <c r="F8" s="16" t="s">
        <v>18</v>
      </c>
      <c r="G8" s="27">
        <f>C13</f>
        <v>0.24379999999999999</v>
      </c>
      <c r="H8" s="28">
        <f>Personfradrag</f>
        <v>51600</v>
      </c>
      <c r="I8" s="29">
        <f>($C$45+AB29)-(H8+AB44)</f>
        <v>391180.72462423949</v>
      </c>
      <c r="J8" s="30">
        <f>+IF(I8&gt;0,$C$13*I8,0)</f>
        <v>95369.860663389583</v>
      </c>
      <c r="K8" s="4"/>
      <c r="L8" s="9"/>
      <c r="N8" s="4"/>
    </row>
    <row r="9" spans="1:32" ht="14" thickBot="1">
      <c r="B9" s="32" t="s">
        <v>19</v>
      </c>
      <c r="C9" s="33">
        <v>0</v>
      </c>
      <c r="D9" s="12"/>
      <c r="F9" s="16" t="s">
        <v>20</v>
      </c>
      <c r="G9" s="27">
        <f>C14</f>
        <v>6.0000000000000001E-3</v>
      </c>
      <c r="H9" s="28">
        <f>Personfradrag</f>
        <v>51600</v>
      </c>
      <c r="I9" s="29">
        <f>($C$45+AB29)-(H9+AB45)</f>
        <v>391180.72462423949</v>
      </c>
      <c r="J9" s="30">
        <f>+IF(I9&gt;0,$C$14*I9,0)</f>
        <v>2347.0843477454368</v>
      </c>
      <c r="K9" s="4"/>
      <c r="L9" s="9"/>
      <c r="N9" s="4"/>
    </row>
    <row r="10" spans="1:32" ht="14" thickBot="1">
      <c r="B10" s="16" t="s">
        <v>21</v>
      </c>
      <c r="C10" s="17">
        <v>0</v>
      </c>
      <c r="D10" s="27"/>
      <c r="F10" s="34"/>
      <c r="G10" s="35"/>
      <c r="H10" s="36"/>
      <c r="I10" s="37"/>
      <c r="J10" s="38">
        <f>SUM(J5:J9)</f>
        <v>154944.20163850617</v>
      </c>
      <c r="K10" s="4"/>
      <c r="L10" s="9"/>
      <c r="N10" s="4"/>
    </row>
    <row r="11" spans="1:32">
      <c r="B11" s="16" t="s">
        <v>22</v>
      </c>
      <c r="C11" s="26" t="s">
        <v>23</v>
      </c>
      <c r="D11" s="27"/>
      <c r="F11" s="29"/>
      <c r="I11" s="39"/>
      <c r="J11" s="40"/>
      <c r="K11" s="41"/>
      <c r="L11" s="42"/>
    </row>
    <row r="12" spans="1:32" ht="14" thickBot="1">
      <c r="B12" s="43" t="s">
        <v>24</v>
      </c>
      <c r="C12" s="44" t="s">
        <v>25</v>
      </c>
      <c r="D12" s="12"/>
      <c r="F12" s="45" t="s">
        <v>26</v>
      </c>
      <c r="G12" s="27"/>
      <c r="I12" s="29"/>
      <c r="J12" s="46">
        <f>IF(C35&gt;=0,0,IF(C35&gt;=GranseNegKIEnlig,TillagNegKI*C35,TillagNegKI*GranseNegKIEnlig))</f>
        <v>0</v>
      </c>
      <c r="K12" s="4"/>
      <c r="L12" s="42"/>
    </row>
    <row r="13" spans="1:32">
      <c r="B13" s="16" t="s">
        <v>27</v>
      </c>
      <c r="C13" s="47">
        <f>VLOOKUP($C$12,Skattesatser!$B$6:$E$103,2)/100</f>
        <v>0.24379999999999999</v>
      </c>
      <c r="D13" s="8"/>
      <c r="F13" s="48" t="s">
        <v>28</v>
      </c>
      <c r="G13" s="5"/>
      <c r="I13" s="49">
        <f>IF($C$73&gt;SkraatSkatteloftPI,$C$73-SkraatSkatteloftPI,0)</f>
        <v>0</v>
      </c>
      <c r="J13" s="46">
        <f>-I13*C75</f>
        <v>0</v>
      </c>
      <c r="K13" s="50"/>
      <c r="L13" s="51"/>
    </row>
    <row r="14" spans="1:32" s="54" customFormat="1">
      <c r="A14" s="52"/>
      <c r="B14" s="16" t="s">
        <v>29</v>
      </c>
      <c r="C14" s="47">
        <f>IF(C11="ja",VLOOKUP($C$12,Skattesatser!$B$6:$E$103,3)/100,0)</f>
        <v>6.0000000000000001E-3</v>
      </c>
      <c r="D14" s="53"/>
      <c r="F14" s="48" t="s">
        <v>30</v>
      </c>
      <c r="G14" s="5"/>
      <c r="H14" s="4"/>
      <c r="I14" s="49">
        <f>IF($C$73&gt;SkraatSkatteloftKI,$C$73-SkraatSkatteloftKI,0)</f>
        <v>9.3900000000000039E-2</v>
      </c>
      <c r="J14" s="46">
        <f>-I14*C76</f>
        <v>0</v>
      </c>
      <c r="K14" s="4"/>
      <c r="L14" s="4"/>
    </row>
    <row r="15" spans="1:32" s="54" customFormat="1" ht="14" thickBot="1">
      <c r="A15" s="52"/>
      <c r="B15" s="16" t="s">
        <v>31</v>
      </c>
      <c r="C15" s="47">
        <f>VLOOKUP($C$12,Skattesatser!$B$6:$E$103,4)/1000</f>
        <v>6.7000000000000002E-3</v>
      </c>
      <c r="D15" s="55"/>
      <c r="F15" s="48"/>
      <c r="G15" s="5"/>
      <c r="H15" s="4"/>
      <c r="I15" s="56"/>
      <c r="J15" s="30">
        <f>SUM(J10:J14)</f>
        <v>154944.20163850617</v>
      </c>
      <c r="K15" s="4"/>
      <c r="L15" s="9"/>
    </row>
    <row r="16" spans="1:32" s="54" customFormat="1" ht="14" thickBot="1">
      <c r="A16" s="52"/>
      <c r="B16" s="57" t="s">
        <v>32</v>
      </c>
      <c r="C16" s="11">
        <v>0</v>
      </c>
      <c r="D16" s="53"/>
      <c r="F16" s="45"/>
      <c r="G16" s="58"/>
      <c r="H16" s="4"/>
      <c r="I16" s="56"/>
      <c r="J16" s="59"/>
      <c r="K16" s="4"/>
      <c r="L16" s="58"/>
      <c r="AF16" s="5"/>
    </row>
    <row r="17" spans="1:32" s="54" customFormat="1">
      <c r="A17" s="52"/>
      <c r="B17" s="48" t="s">
        <v>33</v>
      </c>
      <c r="C17" s="17">
        <v>0</v>
      </c>
      <c r="D17" s="53"/>
      <c r="F17" s="60"/>
      <c r="G17" s="61"/>
      <c r="H17" s="61"/>
      <c r="I17" s="62"/>
      <c r="J17" s="25"/>
      <c r="L17" s="9"/>
      <c r="AF17" s="5"/>
    </row>
    <row r="18" spans="1:32" s="54" customFormat="1" ht="14" thickBot="1">
      <c r="A18" s="52"/>
      <c r="B18" s="63" t="s">
        <v>34</v>
      </c>
      <c r="C18" s="64">
        <v>0</v>
      </c>
      <c r="D18" s="53"/>
      <c r="F18" s="45" t="s">
        <v>35</v>
      </c>
      <c r="I18" s="65"/>
      <c r="J18" s="30">
        <f>J15+C27</f>
        <v>231744.20163850617</v>
      </c>
      <c r="L18" s="9"/>
      <c r="AF18" s="5"/>
    </row>
    <row r="19" spans="1:32" s="67" customFormat="1" ht="15" thickBot="1">
      <c r="A19" s="66"/>
      <c r="D19" s="68"/>
      <c r="F19" s="69" t="s">
        <v>36</v>
      </c>
      <c r="I19" s="70"/>
      <c r="J19" s="30">
        <f>+F63</f>
        <v>0</v>
      </c>
      <c r="K19" s="54"/>
      <c r="L19" s="9"/>
      <c r="AF19" s="5"/>
    </row>
    <row r="20" spans="1:32" s="67" customFormat="1">
      <c r="A20" s="66"/>
      <c r="B20" s="71" t="s">
        <v>37</v>
      </c>
      <c r="C20" s="72">
        <f>12*80000</f>
        <v>960000</v>
      </c>
      <c r="D20" s="73"/>
      <c r="E20" s="74"/>
      <c r="F20" s="45" t="s">
        <v>38</v>
      </c>
      <c r="I20" s="70"/>
      <c r="J20" s="30">
        <f>F64</f>
        <v>0</v>
      </c>
      <c r="L20" s="9"/>
      <c r="AB20" s="5"/>
      <c r="AC20" s="5"/>
      <c r="AD20" s="5"/>
      <c r="AE20" s="5"/>
      <c r="AF20" s="5"/>
    </row>
    <row r="21" spans="1:32" s="67" customFormat="1">
      <c r="A21" s="66"/>
      <c r="B21" s="45" t="s">
        <v>39</v>
      </c>
      <c r="C21" s="75">
        <v>0</v>
      </c>
      <c r="D21" s="4"/>
      <c r="E21" s="74"/>
      <c r="F21" s="45" t="s">
        <v>40</v>
      </c>
      <c r="I21" s="70"/>
      <c r="J21" s="30">
        <f>-C18</f>
        <v>0</v>
      </c>
      <c r="L21" s="9"/>
      <c r="AB21" s="5"/>
      <c r="AC21" s="5"/>
      <c r="AD21" s="5"/>
      <c r="AE21" s="5"/>
      <c r="AF21" s="5"/>
    </row>
    <row r="22" spans="1:32" ht="14" thickBot="1">
      <c r="B22" s="45" t="s">
        <v>41</v>
      </c>
      <c r="C22" s="76">
        <f>C21*C20</f>
        <v>0</v>
      </c>
      <c r="D22" s="12"/>
      <c r="F22" s="45"/>
      <c r="G22" s="67"/>
      <c r="H22" s="67"/>
      <c r="I22" s="70"/>
      <c r="J22" s="30"/>
      <c r="K22" s="67"/>
      <c r="L22" s="9"/>
    </row>
    <row r="23" spans="1:32" ht="17" thickBot="1">
      <c r="B23" s="45" t="s">
        <v>42</v>
      </c>
      <c r="C23" s="77">
        <v>0</v>
      </c>
      <c r="F23" s="78" t="s">
        <v>43</v>
      </c>
      <c r="G23" s="79"/>
      <c r="H23" s="79"/>
      <c r="I23" s="80"/>
      <c r="J23" s="81">
        <f>SUM(J18:J21)</f>
        <v>231744.20163850617</v>
      </c>
      <c r="L23" s="82"/>
      <c r="M23" s="4"/>
    </row>
    <row r="24" spans="1:32" ht="14" thickBot="1">
      <c r="B24" s="83" t="s">
        <v>44</v>
      </c>
      <c r="C24" s="84">
        <f>IF(C6="ja",FriTelefon,0)</f>
        <v>0</v>
      </c>
    </row>
    <row r="25" spans="1:32" s="67" customFormat="1" ht="15" thickBot="1">
      <c r="A25" s="85"/>
      <c r="B25" s="86" t="s">
        <v>45</v>
      </c>
      <c r="C25" s="87">
        <f>C20-C22+C23+C24</f>
        <v>960000</v>
      </c>
      <c r="D25" s="68"/>
      <c r="E25" s="74"/>
      <c r="F25" s="4"/>
      <c r="G25" s="4"/>
      <c r="H25" s="4"/>
      <c r="I25" s="5"/>
      <c r="J25" s="5"/>
      <c r="K25" s="5"/>
      <c r="L25" s="5"/>
      <c r="AA25" s="5"/>
      <c r="AB25" s="5"/>
      <c r="AC25" s="5"/>
      <c r="AD25" s="5"/>
      <c r="AE25" s="5"/>
    </row>
    <row r="26" spans="1:32" ht="15.75" customHeight="1" thickTop="1">
      <c r="A26" s="52"/>
      <c r="B26" s="88"/>
      <c r="C26" s="89"/>
      <c r="D26" s="5"/>
      <c r="F26" s="248" t="s">
        <v>46</v>
      </c>
      <c r="G26" s="249"/>
      <c r="H26" s="250"/>
      <c r="I26" s="254" t="str">
        <f>C2</f>
        <v>Person</v>
      </c>
      <c r="J26" s="255"/>
    </row>
    <row r="27" spans="1:32" ht="14" thickBot="1">
      <c r="A27" s="52"/>
      <c r="B27" s="88" t="s">
        <v>47</v>
      </c>
      <c r="C27" s="90">
        <f>ArbBidrag*C25</f>
        <v>76800</v>
      </c>
      <c r="D27" s="12"/>
      <c r="F27" s="251"/>
      <c r="G27" s="252"/>
      <c r="H27" s="253"/>
      <c r="I27" s="91" t="s">
        <v>48</v>
      </c>
      <c r="J27" s="92" t="s">
        <v>49</v>
      </c>
      <c r="K27" s="93"/>
      <c r="L27" s="94"/>
    </row>
    <row r="28" spans="1:32" ht="16">
      <c r="A28" s="52"/>
      <c r="B28" s="45" t="s">
        <v>50</v>
      </c>
      <c r="C28" s="17">
        <v>0</v>
      </c>
      <c r="D28" s="12"/>
      <c r="F28" s="95" t="s">
        <v>51</v>
      </c>
      <c r="G28" s="96"/>
      <c r="H28" s="97"/>
      <c r="I28" s="24">
        <f>C20+C23+C28</f>
        <v>960000</v>
      </c>
      <c r="J28" s="97">
        <f>I28/12</f>
        <v>80000</v>
      </c>
      <c r="K28" s="4"/>
      <c r="L28" s="4"/>
    </row>
    <row r="29" spans="1:32" ht="16">
      <c r="A29" s="52"/>
      <c r="B29" s="45" t="s">
        <v>52</v>
      </c>
      <c r="C29" s="90">
        <f>IF(C3&gt;RatepensionMax,RatepensionMax,C3)</f>
        <v>65500</v>
      </c>
      <c r="D29" s="68"/>
      <c r="F29" s="98" t="s">
        <v>53</v>
      </c>
      <c r="H29" s="59"/>
      <c r="I29" s="29">
        <f>C22</f>
        <v>0</v>
      </c>
      <c r="J29" s="59">
        <f>I29/12</f>
        <v>0</v>
      </c>
      <c r="K29" s="4"/>
      <c r="L29" s="4"/>
    </row>
    <row r="30" spans="1:32" ht="17" thickBot="1">
      <c r="A30" s="52"/>
      <c r="B30" s="45" t="s">
        <v>54</v>
      </c>
      <c r="C30" s="90">
        <f>+C4</f>
        <v>289603.27537576051</v>
      </c>
      <c r="D30" s="99"/>
      <c r="F30" s="98" t="s">
        <v>55</v>
      </c>
      <c r="H30" s="59"/>
      <c r="I30" s="29">
        <f>J23</f>
        <v>231744.20163850617</v>
      </c>
      <c r="J30" s="59">
        <f>I30/12</f>
        <v>19312.016803208848</v>
      </c>
      <c r="K30" s="100"/>
      <c r="L30" s="4"/>
    </row>
    <row r="31" spans="1:32" ht="17" thickBot="1">
      <c r="A31" s="52"/>
      <c r="B31" s="86" t="s">
        <v>56</v>
      </c>
      <c r="C31" s="101">
        <f>C25-C27+C28-C29-C30</f>
        <v>528096.72462423949</v>
      </c>
      <c r="F31" s="102" t="s">
        <v>46</v>
      </c>
      <c r="G31" s="79"/>
      <c r="H31" s="103"/>
      <c r="I31" s="104">
        <f>I28-I29-I30</f>
        <v>728255.79836149386</v>
      </c>
      <c r="J31" s="105">
        <f>I31/12</f>
        <v>60687.983196791152</v>
      </c>
      <c r="K31" s="106"/>
      <c r="L31" s="106"/>
      <c r="Z31" s="4"/>
    </row>
    <row r="32" spans="1:32" ht="14" thickTop="1">
      <c r="A32" s="52"/>
      <c r="B32" s="45"/>
      <c r="C32" s="16"/>
      <c r="Z32" s="4"/>
    </row>
    <row r="33" spans="1:27">
      <c r="B33" s="45" t="s">
        <v>57</v>
      </c>
      <c r="C33" s="17">
        <v>0</v>
      </c>
      <c r="H33" s="107"/>
    </row>
    <row r="34" spans="1:27" ht="14" thickBot="1">
      <c r="B34" s="108" t="s">
        <v>58</v>
      </c>
      <c r="C34" s="17">
        <v>0</v>
      </c>
      <c r="D34" s="12"/>
      <c r="L34" s="4"/>
    </row>
    <row r="35" spans="1:27" ht="15" thickBot="1">
      <c r="B35" s="86" t="s">
        <v>59</v>
      </c>
      <c r="C35" s="101">
        <f>+C33-C34</f>
        <v>0</v>
      </c>
      <c r="D35" s="68"/>
      <c r="F35" s="4" t="s">
        <v>157</v>
      </c>
      <c r="I35" s="4">
        <f>'Skat før'!J23</f>
        <v>352854.72400000005</v>
      </c>
    </row>
    <row r="36" spans="1:27" ht="14" thickTop="1">
      <c r="B36" s="88"/>
      <c r="C36" s="109"/>
      <c r="D36" s="9"/>
      <c r="F36" s="111" t="s">
        <v>158</v>
      </c>
      <c r="I36" s="4">
        <f>J23</f>
        <v>231744.20163850617</v>
      </c>
    </row>
    <row r="37" spans="1:27" s="67" customFormat="1" ht="16">
      <c r="A37" s="66"/>
      <c r="B37" s="69" t="s">
        <v>60</v>
      </c>
      <c r="C37" s="90">
        <f>MIN(+($C$25+$C$22*3)*BFradragProc,BFradragMax)</f>
        <v>55600</v>
      </c>
      <c r="D37" s="110"/>
      <c r="E37" s="111"/>
      <c r="F37" s="4" t="s">
        <v>159</v>
      </c>
      <c r="H37" s="111"/>
      <c r="I37" s="4">
        <f>I35-I36</f>
        <v>121110.52236149387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>
      <c r="B38" s="69" t="s">
        <v>61</v>
      </c>
      <c r="C38" s="90">
        <f>MAX(0,MIN(+($C$25+$C$22*3-Jfradraggranse)*Jfradragproc,JfradragMax))</f>
        <v>2900</v>
      </c>
      <c r="D38" s="5"/>
      <c r="F38" s="4" t="s">
        <v>160</v>
      </c>
      <c r="I38" s="4">
        <f>'Tom bo mangler (80%)'!D2</f>
        <v>231503.27537576051</v>
      </c>
    </row>
    <row r="39" spans="1:27" ht="14.25" customHeight="1">
      <c r="B39" s="69" t="s">
        <v>62</v>
      </c>
      <c r="C39" s="90">
        <f>IF(C5&lt;=52,MIN(+(C3+C4+C22*3)*EPENfradragProc,EPENfradragMax),MIN(+(C3+C4+C22*3)*EPENSeniorProc,EPENSeniorMax))</f>
        <v>26816</v>
      </c>
      <c r="F39" s="4" t="s">
        <v>161</v>
      </c>
      <c r="I39" s="4">
        <f>I38-I37</f>
        <v>110392.75301426664</v>
      </c>
    </row>
    <row r="40" spans="1:27">
      <c r="B40" s="69" t="s">
        <v>63</v>
      </c>
      <c r="C40" s="90">
        <f>IF(C7&gt;FagforeningMax,FagforeningMax,C7)+C8</f>
        <v>0</v>
      </c>
    </row>
    <row r="41" spans="1:27">
      <c r="B41" s="69" t="s">
        <v>64</v>
      </c>
      <c r="C41" s="90">
        <f>+$H$56</f>
        <v>0</v>
      </c>
    </row>
    <row r="42" spans="1:27" ht="14" thickBot="1">
      <c r="B42" s="69" t="s">
        <v>65</v>
      </c>
      <c r="C42" s="17">
        <v>0</v>
      </c>
    </row>
    <row r="43" spans="1:27" ht="15" thickBot="1">
      <c r="B43" s="86" t="s">
        <v>66</v>
      </c>
      <c r="C43" s="101">
        <f>SUM(C37:C42)</f>
        <v>85316</v>
      </c>
    </row>
    <row r="44" spans="1:27" ht="15" thickTop="1" thickBot="1">
      <c r="B44" s="112"/>
      <c r="C44" s="113"/>
    </row>
    <row r="45" spans="1:27" ht="17" thickBot="1">
      <c r="B45" s="114" t="s">
        <v>67</v>
      </c>
      <c r="C45" s="115">
        <f>+C31+C35-C43</f>
        <v>442780.72462423949</v>
      </c>
    </row>
    <row r="49" spans="1:40" ht="14" thickBot="1"/>
    <row r="50" spans="1:40" ht="14" thickBot="1">
      <c r="B50" s="116" t="s">
        <v>68</v>
      </c>
      <c r="D50" s="117"/>
    </row>
    <row r="51" spans="1:40" ht="14" thickBot="1">
      <c r="D51" s="117"/>
    </row>
    <row r="52" spans="1:40" ht="14" thickBot="1">
      <c r="B52" s="118" t="s">
        <v>69</v>
      </c>
      <c r="D52" s="117"/>
    </row>
    <row r="53" spans="1:40">
      <c r="B53" s="13"/>
      <c r="C53" s="119" t="s">
        <v>70</v>
      </c>
      <c r="D53" s="119" t="s">
        <v>71</v>
      </c>
      <c r="E53" s="120" t="s">
        <v>72</v>
      </c>
      <c r="F53" s="121" t="s">
        <v>73</v>
      </c>
      <c r="G53" s="121" t="s">
        <v>74</v>
      </c>
      <c r="H53" s="122" t="s">
        <v>75</v>
      </c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4"/>
      <c r="AA53" s="4" t="s">
        <v>76</v>
      </c>
    </row>
    <row r="54" spans="1:40">
      <c r="B54" s="123" t="s">
        <v>77</v>
      </c>
      <c r="C54" s="124">
        <f>BeFradragHojSats</f>
        <v>2.23</v>
      </c>
      <c r="D54" s="125">
        <f>C10</f>
        <v>0</v>
      </c>
      <c r="E54" s="126">
        <f>C9</f>
        <v>0</v>
      </c>
      <c r="F54" s="125">
        <f>BeFradragKmMin</f>
        <v>24</v>
      </c>
      <c r="G54" s="127">
        <f>IF(E54&gt;F54,MIN(E54,BeFradragKmMax)-F54,0)</f>
        <v>0</v>
      </c>
      <c r="H54" s="128">
        <f>+(D54*G54)*C54</f>
        <v>0</v>
      </c>
      <c r="I54" s="4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4"/>
    </row>
    <row r="55" spans="1:40">
      <c r="B55" s="123" t="s">
        <v>78</v>
      </c>
      <c r="C55" s="124">
        <f>BeFradragLavSats</f>
        <v>1.1200000000000001</v>
      </c>
      <c r="D55" s="125">
        <f>C10</f>
        <v>0</v>
      </c>
      <c r="E55" s="126">
        <f>MAX(E54-BeFradragKmMax,0)</f>
        <v>0</v>
      </c>
      <c r="F55" s="125"/>
      <c r="G55" s="127">
        <f>MAX(E55,0)</f>
        <v>0</v>
      </c>
      <c r="H55" s="128">
        <f>+(D55*G55)*C55</f>
        <v>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>
      <c r="B56" s="129" t="s">
        <v>79</v>
      </c>
      <c r="C56" s="124"/>
      <c r="D56" s="130"/>
      <c r="E56" s="130"/>
      <c r="F56" s="125"/>
      <c r="G56" s="130"/>
      <c r="H56" s="128">
        <f>SUM(H54:H55)</f>
        <v>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>
      <c r="B57" s="123"/>
      <c r="C57" s="124"/>
      <c r="D57" s="130"/>
      <c r="E57" s="130"/>
      <c r="F57" s="125"/>
      <c r="G57" s="130"/>
      <c r="H57" s="128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1:40">
      <c r="B58" s="129" t="s">
        <v>80</v>
      </c>
      <c r="C58" s="124"/>
      <c r="D58" s="130"/>
      <c r="E58" s="130"/>
      <c r="F58" s="125"/>
      <c r="G58" s="130"/>
      <c r="H58" s="128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s="137" customFormat="1" ht="17" thickBot="1">
      <c r="A59" s="131"/>
      <c r="B59" s="132"/>
      <c r="C59" s="133"/>
      <c r="D59" s="134"/>
      <c r="E59" s="134"/>
      <c r="F59" s="135"/>
      <c r="G59" s="134"/>
      <c r="H59" s="136"/>
      <c r="I59" s="5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</row>
    <row r="60" spans="1:40" s="137" customFormat="1" ht="16">
      <c r="A60" s="131"/>
      <c r="B60" s="5"/>
      <c r="C60" s="139"/>
      <c r="D60" s="140"/>
      <c r="E60" s="4"/>
      <c r="F60" s="140"/>
      <c r="G60" s="4"/>
      <c r="H60" s="4"/>
      <c r="I60" s="5"/>
      <c r="J60" s="82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</row>
    <row r="61" spans="1:40" ht="14" thickBot="1">
      <c r="C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1:40">
      <c r="B62" s="141" t="s">
        <v>81</v>
      </c>
      <c r="C62" s="142" t="s">
        <v>82</v>
      </c>
      <c r="D62" s="142" t="s">
        <v>83</v>
      </c>
      <c r="E62" s="142" t="s">
        <v>84</v>
      </c>
      <c r="F62" s="143" t="s">
        <v>85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1:40">
      <c r="B63" s="123" t="s">
        <v>36</v>
      </c>
      <c r="C63" s="144">
        <f>EjVSkatMin</f>
        <v>5.1000000000000004E-3</v>
      </c>
      <c r="D63" s="144">
        <f>EjVSkatMax-C63</f>
        <v>8.8999999999999999E-3</v>
      </c>
      <c r="E63" s="145">
        <f>C16</f>
        <v>0</v>
      </c>
      <c r="F63" s="146">
        <f>IF(E63&lt;Skattesatser!H14,C63*E63*Forsigtighed,C63*E63*Forsigtighed+(E63-Skattesatser!H14)*D63*Forsigtighed)</f>
        <v>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1:40" ht="14" thickBot="1">
      <c r="B64" s="147" t="s">
        <v>38</v>
      </c>
      <c r="C64" s="148">
        <f>C15</f>
        <v>6.7000000000000002E-3</v>
      </c>
      <c r="D64" s="148"/>
      <c r="E64" s="149">
        <f>C17</f>
        <v>0</v>
      </c>
      <c r="F64" s="150">
        <f>E64*C64*Forsigtighed</f>
        <v>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1:40">
      <c r="C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spans="1:40" ht="14" thickBot="1">
      <c r="C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 ht="14" thickBot="1">
      <c r="B67" s="151" t="s">
        <v>86</v>
      </c>
      <c r="C67" s="118" t="s">
        <v>87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1:40">
      <c r="B68" s="152" t="s">
        <v>88</v>
      </c>
      <c r="C68" s="153">
        <f>+C31</f>
        <v>528096.72462423949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>
      <c r="B69" s="154" t="s">
        <v>89</v>
      </c>
      <c r="C69" s="155">
        <f>MAX(C35+C31,C31)</f>
        <v>528096.72462423949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1:40">
      <c r="B70" s="154" t="s">
        <v>90</v>
      </c>
      <c r="C70" s="155">
        <f>C68+C72</f>
        <v>528096.72462423949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0">
      <c r="B71" s="154" t="s">
        <v>91</v>
      </c>
      <c r="C71" s="155">
        <f>MAX(C35,0)</f>
        <v>0</v>
      </c>
      <c r="I71" s="156"/>
    </row>
    <row r="72" spans="1:40">
      <c r="B72" s="154" t="s">
        <v>92</v>
      </c>
      <c r="C72" s="155">
        <f>IF((C71+D71)&gt;KItilTopskatEnlig,C71+D71-KItilTopskatEnlig,0)</f>
        <v>0</v>
      </c>
    </row>
    <row r="73" spans="1:40">
      <c r="B73" s="123" t="s">
        <v>93</v>
      </c>
      <c r="C73" s="157">
        <f>SUM(G5:G8)</f>
        <v>0.51390000000000002</v>
      </c>
    </row>
    <row r="74" spans="1:40" s="4" customFormat="1">
      <c r="A74" s="1"/>
      <c r="B74" s="154" t="s">
        <v>94</v>
      </c>
      <c r="C74" s="155">
        <f>IF(C70&gt;TopSkatGranse,C70-TopSkatGranse,0)</f>
        <v>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40" s="4" customFormat="1">
      <c r="A75" s="1"/>
      <c r="B75" s="158" t="s">
        <v>95</v>
      </c>
      <c r="C75" s="155">
        <f>IF(C68&gt;TopSkatGranse,C68-TopSkatGranse,0)</f>
        <v>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s="4" customFormat="1" ht="14" thickBot="1">
      <c r="A76" s="1"/>
      <c r="B76" s="159" t="s">
        <v>96</v>
      </c>
      <c r="C76" s="160">
        <f>C74-C75</f>
        <v>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102" spans="1:40" s="4" customFormat="1">
      <c r="A102" s="1"/>
      <c r="B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s="4" customFormat="1">
      <c r="A103" s="1"/>
      <c r="B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s="4" customFormat="1">
      <c r="A104" s="1"/>
      <c r="B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s="4" customFormat="1">
      <c r="A105" s="1"/>
      <c r="B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s="4" customFormat="1">
      <c r="A106" s="1"/>
      <c r="B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s="4" customFormat="1">
      <c r="A107" s="1"/>
      <c r="B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s="4" customFormat="1">
      <c r="A108" s="1"/>
      <c r="B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s="4" customFormat="1">
      <c r="A109" s="1"/>
      <c r="B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s="4" customFormat="1">
      <c r="A110" s="1"/>
      <c r="B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s="4" customFormat="1">
      <c r="A111" s="1"/>
      <c r="B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s="4" customFormat="1">
      <c r="A112" s="1"/>
      <c r="B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s="4" customFormat="1">
      <c r="A113" s="1"/>
      <c r="B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s="4" customFormat="1">
      <c r="A114" s="1"/>
      <c r="B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s="4" customFormat="1">
      <c r="A115" s="1"/>
      <c r="B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s="4" customFormat="1">
      <c r="A116" s="1"/>
      <c r="B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1:40" s="4" customFormat="1">
      <c r="A117" s="1"/>
      <c r="B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1:40" s="4" customFormat="1">
      <c r="A118" s="1"/>
      <c r="B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s="4" customFormat="1">
      <c r="A119" s="1"/>
      <c r="B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1:40" s="4" customFormat="1">
      <c r="A120" s="1"/>
      <c r="B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1:40" s="4" customFormat="1">
      <c r="A121" s="1"/>
      <c r="B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1:40" s="4" customFormat="1">
      <c r="A122" s="1"/>
      <c r="B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1:40" s="4" customFormat="1">
      <c r="A123" s="1"/>
      <c r="B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1:40" s="4" customFormat="1">
      <c r="A124" s="1"/>
      <c r="B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1:40" s="4" customFormat="1">
      <c r="A125" s="1"/>
      <c r="B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1:40" s="4" customFormat="1">
      <c r="A126" s="1"/>
      <c r="B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1:40" s="4" customFormat="1">
      <c r="A127" s="1"/>
      <c r="B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1:40" s="4" customFormat="1">
      <c r="A128" s="1"/>
      <c r="B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1:40" s="4" customFormat="1">
      <c r="A129" s="1"/>
      <c r="B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1:40" s="4" customFormat="1">
      <c r="A130" s="1"/>
      <c r="B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s="4" customFormat="1">
      <c r="A131" s="1"/>
      <c r="B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1:40" s="4" customFormat="1">
      <c r="A132" s="1"/>
      <c r="B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 s="4" customFormat="1">
      <c r="A133" s="1"/>
      <c r="B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s="4" customFormat="1">
      <c r="A134" s="1"/>
      <c r="B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1:40" s="4" customFormat="1">
      <c r="A135" s="1"/>
      <c r="B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s="4" customFormat="1">
      <c r="A136" s="1"/>
      <c r="B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1:40" s="4" customFormat="1">
      <c r="A137" s="1"/>
      <c r="B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1:40" s="4" customFormat="1">
      <c r="A138" s="1"/>
      <c r="B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s="4" customFormat="1">
      <c r="A139" s="1"/>
      <c r="B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1:40" s="4" customFormat="1">
      <c r="A140" s="1"/>
      <c r="B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1:40" s="4" customFormat="1">
      <c r="A141" s="1"/>
      <c r="B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1:40" s="4" customFormat="1">
      <c r="A142" s="1"/>
      <c r="B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1:40" s="4" customFormat="1">
      <c r="A143" s="1"/>
      <c r="B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1:40" s="4" customFormat="1">
      <c r="A144" s="1"/>
      <c r="B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1:40" s="4" customFormat="1">
      <c r="A145" s="1"/>
      <c r="B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1:40" s="4" customFormat="1">
      <c r="A146" s="1"/>
      <c r="B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1:40" s="4" customFormat="1">
      <c r="A147" s="1"/>
      <c r="B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1:40" s="4" customFormat="1">
      <c r="A148" s="1"/>
      <c r="B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1:40" s="4" customFormat="1">
      <c r="A149" s="1"/>
      <c r="B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1:40" s="4" customFormat="1">
      <c r="A150" s="1"/>
      <c r="B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1:40" s="4" customFormat="1">
      <c r="A151" s="1"/>
      <c r="B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1:40" s="4" customFormat="1">
      <c r="A152" s="1"/>
      <c r="B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1:40" s="4" customFormat="1">
      <c r="A153" s="1"/>
      <c r="B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1:40" s="4" customFormat="1">
      <c r="A154" s="1"/>
      <c r="B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1:40" s="4" customFormat="1">
      <c r="A155" s="1"/>
      <c r="B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1:40" s="4" customFormat="1">
      <c r="A156" s="1"/>
      <c r="B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1:40" s="4" customFormat="1">
      <c r="A157" s="1"/>
      <c r="B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1:40" s="4" customFormat="1">
      <c r="A158" s="1"/>
      <c r="B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1:40" s="4" customFormat="1">
      <c r="A159" s="1"/>
      <c r="B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1:40" s="4" customFormat="1">
      <c r="A160" s="1"/>
      <c r="B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1:40" s="4" customFormat="1">
      <c r="A161" s="1"/>
      <c r="B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1:40" s="4" customFormat="1">
      <c r="A162" s="1"/>
      <c r="B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1:40" s="4" customFormat="1">
      <c r="A163" s="1"/>
      <c r="B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1:40" s="4" customFormat="1">
      <c r="A164" s="1"/>
      <c r="B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1:40" s="4" customFormat="1">
      <c r="A165" s="1"/>
      <c r="B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1:40" s="4" customFormat="1">
      <c r="A166" s="1"/>
      <c r="B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1:40" s="4" customFormat="1">
      <c r="A167" s="1"/>
      <c r="B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1:40" s="4" customFormat="1">
      <c r="A168" s="1"/>
      <c r="B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1:40" s="4" customFormat="1">
      <c r="A169" s="1"/>
      <c r="B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1:40" s="4" customFormat="1">
      <c r="A170" s="1"/>
      <c r="B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 s="4" customFormat="1">
      <c r="A171" s="1"/>
      <c r="B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 s="4" customFormat="1">
      <c r="A172" s="1"/>
      <c r="B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 s="4" customFormat="1">
      <c r="A173" s="1"/>
      <c r="B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 s="4" customFormat="1">
      <c r="A174" s="1"/>
      <c r="B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 s="4" customFormat="1">
      <c r="A175" s="1"/>
      <c r="B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 s="4" customFormat="1">
      <c r="A176" s="1"/>
      <c r="B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1:40" s="4" customFormat="1">
      <c r="A177" s="1"/>
      <c r="B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1:40" s="4" customFormat="1">
      <c r="A178" s="1"/>
      <c r="B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1:40" s="4" customFormat="1">
      <c r="A179" s="1"/>
      <c r="B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1:40" s="4" customFormat="1">
      <c r="A180" s="1"/>
      <c r="B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1:40" s="4" customFormat="1">
      <c r="A181" s="1"/>
      <c r="B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1:40" s="4" customFormat="1">
      <c r="A182" s="1"/>
      <c r="B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1:40" s="4" customFormat="1">
      <c r="A183" s="1"/>
      <c r="B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1:40" s="4" customFormat="1">
      <c r="A184" s="1"/>
      <c r="B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1:40" s="4" customFormat="1">
      <c r="A185" s="1"/>
      <c r="B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1:40" s="4" customFormat="1">
      <c r="A186" s="1"/>
      <c r="B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1:40" s="4" customFormat="1">
      <c r="A187" s="1"/>
      <c r="B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1:40" s="4" customFormat="1">
      <c r="A188" s="1"/>
      <c r="B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1:40" s="4" customFormat="1">
      <c r="A189" s="1"/>
      <c r="B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1:40" s="4" customFormat="1">
      <c r="A190" s="1"/>
      <c r="B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1:40" s="4" customFormat="1">
      <c r="A191" s="1"/>
      <c r="B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1:40" s="4" customFormat="1">
      <c r="A192" s="1"/>
      <c r="B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1:40" s="4" customFormat="1">
      <c r="A193" s="1"/>
      <c r="B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1:40" s="4" customFormat="1">
      <c r="A194" s="1"/>
      <c r="B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1:40" s="4" customFormat="1">
      <c r="A195" s="1"/>
      <c r="B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1:40" s="4" customFormat="1">
      <c r="A196" s="1"/>
      <c r="B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1:40" s="4" customFormat="1">
      <c r="A197" s="1"/>
      <c r="B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1:40" s="4" customFormat="1">
      <c r="A198" s="1"/>
      <c r="B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1:40" s="4" customFormat="1">
      <c r="A199" s="1"/>
      <c r="B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1:40" s="4" customFormat="1">
      <c r="A200" s="1"/>
      <c r="B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1:40" s="4" customFormat="1">
      <c r="A201" s="1"/>
      <c r="B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1:40" s="4" customFormat="1">
      <c r="A202" s="1"/>
      <c r="B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1:40" s="4" customFormat="1">
      <c r="A203" s="1"/>
      <c r="B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1:40" s="4" customFormat="1">
      <c r="A204" s="1"/>
      <c r="B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1:40" s="4" customFormat="1">
      <c r="A205" s="1"/>
      <c r="B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1:40" s="4" customFormat="1">
      <c r="A206" s="1"/>
      <c r="B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1:40" s="4" customFormat="1">
      <c r="A207" s="1"/>
      <c r="B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1:40" s="4" customFormat="1">
      <c r="A208" s="1"/>
      <c r="B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1:40" s="4" customFormat="1">
      <c r="A209" s="1"/>
      <c r="B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1:40" s="4" customFormat="1">
      <c r="A210" s="1"/>
      <c r="B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1:40" s="4" customFormat="1">
      <c r="A211" s="1"/>
      <c r="B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1:40" s="4" customFormat="1">
      <c r="A212" s="1"/>
      <c r="B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1:40" s="4" customFormat="1">
      <c r="A213" s="1"/>
      <c r="B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1:40" s="4" customFormat="1">
      <c r="A214" s="1"/>
      <c r="B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1:40" s="4" customFormat="1">
      <c r="A215" s="1"/>
      <c r="B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1:40" s="4" customFormat="1">
      <c r="A216" s="1"/>
      <c r="B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1:40" s="4" customFormat="1">
      <c r="A217" s="1"/>
      <c r="B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1:40" s="4" customFormat="1">
      <c r="A218" s="1"/>
      <c r="B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1:40" s="4" customFormat="1">
      <c r="A219" s="1"/>
      <c r="B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1:40" s="4" customFormat="1">
      <c r="A220" s="1"/>
      <c r="B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1:40" s="4" customFormat="1">
      <c r="A221" s="1"/>
      <c r="B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1:40" s="4" customFormat="1">
      <c r="A222" s="1"/>
      <c r="B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1:40" s="4" customFormat="1">
      <c r="A223" s="1"/>
      <c r="B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1:40" s="4" customFormat="1">
      <c r="A224" s="1"/>
      <c r="B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1:40" s="4" customFormat="1">
      <c r="A225" s="1"/>
      <c r="B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1:40" s="4" customFormat="1">
      <c r="A226" s="1"/>
      <c r="B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1:40" s="4" customFormat="1">
      <c r="A227" s="1"/>
      <c r="B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1:40" s="4" customFormat="1">
      <c r="A228" s="1"/>
      <c r="B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1:40" s="4" customFormat="1">
      <c r="A229" s="1"/>
      <c r="B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1:40" s="4" customFormat="1">
      <c r="A230" s="1"/>
      <c r="B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1:40" s="4" customFormat="1">
      <c r="A231" s="1"/>
      <c r="B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1:40" s="4" customFormat="1">
      <c r="A232" s="1"/>
      <c r="B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1:40" s="4" customFormat="1">
      <c r="A233" s="1"/>
      <c r="B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1:40" s="4" customFormat="1">
      <c r="A234" s="1"/>
      <c r="B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1:40" s="4" customFormat="1">
      <c r="A235" s="1"/>
      <c r="B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1:40" s="4" customFormat="1">
      <c r="A236" s="1"/>
      <c r="B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1:40" s="4" customFormat="1">
      <c r="A237" s="1"/>
      <c r="B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1:40" s="4" customFormat="1">
      <c r="A238" s="1"/>
      <c r="B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1:40" s="4" customFormat="1">
      <c r="A239" s="1"/>
      <c r="B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1:40" s="4" customFormat="1">
      <c r="A240" s="1"/>
      <c r="B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1:40" s="4" customFormat="1">
      <c r="A241" s="1"/>
      <c r="B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1:40" s="4" customFormat="1">
      <c r="A242" s="1"/>
      <c r="B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1:40" s="4" customFormat="1">
      <c r="A243" s="1"/>
      <c r="B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1:40" s="4" customFormat="1">
      <c r="A244" s="1"/>
      <c r="B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1:40" s="4" customFormat="1">
      <c r="A245" s="1"/>
      <c r="B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1:40" s="4" customFormat="1">
      <c r="A246" s="1"/>
      <c r="B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1:40" s="4" customFormat="1">
      <c r="A247" s="1"/>
      <c r="B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1:40" s="4" customFormat="1">
      <c r="A248" s="1"/>
      <c r="B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1:40" s="4" customFormat="1">
      <c r="A249" s="1"/>
      <c r="B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1:40" s="4" customFormat="1">
      <c r="A250" s="1"/>
      <c r="B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1:40" s="4" customFormat="1">
      <c r="A251" s="1"/>
      <c r="B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1:40" s="4" customFormat="1">
      <c r="A252" s="1"/>
      <c r="B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1:40" s="4" customFormat="1">
      <c r="A253" s="1"/>
      <c r="B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1:40" s="4" customFormat="1">
      <c r="A254" s="1"/>
      <c r="B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1:40" s="4" customFormat="1">
      <c r="A255" s="1"/>
      <c r="B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1:40" s="4" customFormat="1">
      <c r="A256" s="1"/>
      <c r="B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1:40" s="4" customFormat="1">
      <c r="A257" s="1"/>
      <c r="B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1:40" s="4" customFormat="1">
      <c r="A258" s="1"/>
      <c r="B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1:40" s="4" customFormat="1">
      <c r="A259" s="1"/>
      <c r="B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1:40" s="4" customFormat="1">
      <c r="A260" s="1"/>
      <c r="B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1:40" s="4" customFormat="1">
      <c r="A261" s="1"/>
      <c r="B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1:40" s="4" customFormat="1">
      <c r="A262" s="1"/>
      <c r="B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1:40" s="4" customFormat="1">
      <c r="A263" s="1"/>
      <c r="B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1:40" s="4" customFormat="1">
      <c r="A264" s="1"/>
      <c r="B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1:40" s="4" customFormat="1">
      <c r="A265" s="1"/>
      <c r="B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1:40" s="4" customFormat="1">
      <c r="A266" s="1"/>
      <c r="B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1:40" s="4" customFormat="1">
      <c r="A267" s="1"/>
      <c r="B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1:40" s="4" customFormat="1">
      <c r="A268" s="1"/>
      <c r="B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1:40" s="4" customFormat="1">
      <c r="A269" s="1"/>
      <c r="B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1:40" s="4" customFormat="1">
      <c r="A270" s="1"/>
      <c r="B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1:40" s="4" customFormat="1">
      <c r="A271" s="1"/>
      <c r="B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1:40" s="4" customFormat="1">
      <c r="A272" s="1"/>
      <c r="B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1:40" s="4" customFormat="1">
      <c r="A273" s="1"/>
      <c r="B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1:40" s="4" customFormat="1">
      <c r="A274" s="1"/>
      <c r="B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1:40" s="4" customFormat="1">
      <c r="A275" s="1"/>
      <c r="B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1:40" s="4" customFormat="1">
      <c r="A276" s="1"/>
      <c r="B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1:40" s="4" customFormat="1">
      <c r="A277" s="1"/>
      <c r="B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1:40" s="4" customFormat="1">
      <c r="A278" s="1"/>
      <c r="B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1:40" s="4" customFormat="1">
      <c r="A279" s="1"/>
      <c r="B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1:40" s="4" customFormat="1">
      <c r="A280" s="1"/>
      <c r="B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1:40" s="4" customFormat="1">
      <c r="A281" s="1"/>
      <c r="B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1:40" s="4" customFormat="1">
      <c r="A282" s="1"/>
      <c r="B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1:40" s="4" customFormat="1">
      <c r="A283" s="1"/>
      <c r="B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1:40" s="4" customFormat="1">
      <c r="A284" s="1"/>
      <c r="B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1:40" s="4" customFormat="1">
      <c r="A285" s="1"/>
      <c r="B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1:40" s="4" customFormat="1">
      <c r="A286" s="1"/>
      <c r="B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1:40" s="4" customFormat="1">
      <c r="A287" s="1"/>
      <c r="B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1:40" s="4" customFormat="1">
      <c r="A288" s="1"/>
      <c r="B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1:40" s="4" customFormat="1">
      <c r="A289" s="1"/>
      <c r="B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1:40" s="4" customFormat="1">
      <c r="A290" s="1"/>
      <c r="B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1:40" s="4" customFormat="1">
      <c r="A291" s="1"/>
      <c r="B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1:40" s="4" customFormat="1">
      <c r="A292" s="1"/>
      <c r="B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1:40" s="4" customFormat="1">
      <c r="A293" s="1"/>
      <c r="B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1:40" s="4" customFormat="1">
      <c r="A294" s="1"/>
      <c r="B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1:40" s="4" customFormat="1">
      <c r="A295" s="1"/>
      <c r="B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1:40" s="4" customFormat="1">
      <c r="A296" s="1"/>
      <c r="B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1:40" s="4" customFormat="1">
      <c r="A297" s="1"/>
      <c r="B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1:40" s="4" customFormat="1">
      <c r="A298" s="1"/>
      <c r="B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1:40" s="4" customFormat="1">
      <c r="A299" s="1"/>
      <c r="B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1:40" s="4" customFormat="1">
      <c r="A300" s="1"/>
      <c r="B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1:40" s="4" customFormat="1">
      <c r="A301" s="1"/>
      <c r="B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1:40" s="4" customFormat="1">
      <c r="A302" s="1"/>
      <c r="B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1:40" s="4" customFormat="1">
      <c r="A303" s="1"/>
      <c r="B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1:40" s="4" customFormat="1">
      <c r="A304" s="1"/>
      <c r="B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1:40" s="4" customFormat="1">
      <c r="A305" s="1"/>
      <c r="B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1:40" s="4" customFormat="1">
      <c r="A306" s="1"/>
      <c r="B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1:40" s="4" customFormat="1">
      <c r="A307" s="1"/>
      <c r="B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1:40" s="4" customFormat="1">
      <c r="A308" s="1"/>
      <c r="B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1:40" s="4" customFormat="1">
      <c r="A309" s="1"/>
      <c r="B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1:40" s="4" customFormat="1">
      <c r="A310" s="1"/>
      <c r="B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1:40" s="4" customFormat="1">
      <c r="A311" s="1"/>
      <c r="B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1:40" s="4" customFormat="1">
      <c r="A312" s="1"/>
      <c r="B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1:40" s="4" customFormat="1">
      <c r="A313" s="1"/>
      <c r="B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1:40" s="4" customFormat="1">
      <c r="A314" s="1"/>
      <c r="B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1:40" s="4" customFormat="1">
      <c r="A315" s="1"/>
      <c r="B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1:40" s="4" customFormat="1">
      <c r="A316" s="1"/>
      <c r="B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1:40" s="4" customFormat="1">
      <c r="A317" s="1"/>
      <c r="B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1:40" s="4" customFormat="1">
      <c r="A318" s="1"/>
      <c r="B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1:40" s="4" customFormat="1">
      <c r="A319" s="1"/>
      <c r="B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1:40" s="4" customFormat="1">
      <c r="A320" s="1"/>
      <c r="B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1:40" s="4" customFormat="1">
      <c r="A321" s="1"/>
      <c r="B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1:40" s="4" customFormat="1">
      <c r="A322" s="1"/>
      <c r="B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1:40" s="4" customFormat="1">
      <c r="A323" s="1"/>
      <c r="B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1:40" s="4" customFormat="1">
      <c r="A324" s="1"/>
      <c r="B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1:40" s="4" customFormat="1">
      <c r="A325" s="1"/>
      <c r="B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1:40" s="4" customFormat="1">
      <c r="A326" s="1"/>
      <c r="B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1:40" s="4" customFormat="1">
      <c r="A327" s="1"/>
      <c r="B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1:40" s="4" customFormat="1">
      <c r="A328" s="1"/>
      <c r="B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1:40" s="4" customFormat="1">
      <c r="A329" s="1"/>
      <c r="B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1:40" s="4" customFormat="1">
      <c r="A330" s="1"/>
      <c r="B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1:40" s="4" customFormat="1">
      <c r="A331" s="1"/>
      <c r="B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1:40" s="4" customFormat="1">
      <c r="A332" s="1"/>
      <c r="B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1:40" s="4" customFormat="1">
      <c r="A333" s="1"/>
      <c r="B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1:40" s="4" customFormat="1">
      <c r="A334" s="1"/>
      <c r="B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1:40" s="4" customFormat="1">
      <c r="A335" s="1"/>
      <c r="B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1:40" s="4" customFormat="1">
      <c r="A336" s="1"/>
      <c r="B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1:40" s="4" customFormat="1">
      <c r="A337" s="1"/>
      <c r="B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1:40" s="4" customFormat="1">
      <c r="A338" s="1"/>
      <c r="B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1:40" s="4" customFormat="1">
      <c r="A339" s="1"/>
      <c r="B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1:40" s="4" customFormat="1">
      <c r="A340" s="1"/>
      <c r="B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1:40" s="4" customFormat="1">
      <c r="A341" s="1"/>
      <c r="B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1:40" s="4" customFormat="1">
      <c r="A342" s="1"/>
      <c r="B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1:40" s="4" customFormat="1">
      <c r="A343" s="1"/>
      <c r="B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1:40" s="4" customFormat="1">
      <c r="A344" s="1"/>
      <c r="B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1:40" s="4" customFormat="1">
      <c r="A345" s="1"/>
      <c r="B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1:40" s="4" customFormat="1">
      <c r="A346" s="1"/>
      <c r="B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1:40" s="4" customFormat="1">
      <c r="A347" s="1"/>
      <c r="B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1:40" s="4" customFormat="1">
      <c r="A348" s="1"/>
      <c r="B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1:40" s="4" customFormat="1">
      <c r="A349" s="1"/>
      <c r="B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1:40" s="4" customFormat="1">
      <c r="A350" s="1"/>
      <c r="B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1:40" s="4" customFormat="1">
      <c r="A351" s="1"/>
      <c r="B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1:40" s="4" customFormat="1">
      <c r="A352" s="1"/>
      <c r="B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1:40" s="4" customFormat="1">
      <c r="A353" s="1"/>
      <c r="B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1:40" s="4" customFormat="1">
      <c r="A354" s="1"/>
      <c r="B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1:40" s="4" customFormat="1">
      <c r="A355" s="1"/>
      <c r="B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1:40" s="4" customFormat="1">
      <c r="A356" s="1"/>
      <c r="B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1:40" s="4" customFormat="1">
      <c r="A357" s="1"/>
      <c r="B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1:40" s="4" customFormat="1">
      <c r="A358" s="1"/>
      <c r="B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1:40" s="4" customFormat="1">
      <c r="A359" s="1"/>
      <c r="B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1:40" s="4" customFormat="1">
      <c r="A360" s="1"/>
      <c r="B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1:40" s="4" customFormat="1">
      <c r="A361" s="1"/>
      <c r="B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1:40" s="4" customFormat="1">
      <c r="A362" s="1"/>
      <c r="B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1:40" s="4" customFormat="1">
      <c r="A363" s="1"/>
      <c r="B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1:40" s="4" customFormat="1">
      <c r="A364" s="1"/>
      <c r="B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1:40" s="4" customFormat="1">
      <c r="A365" s="1"/>
      <c r="B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1:40" s="4" customFormat="1">
      <c r="A366" s="1"/>
      <c r="B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1:40" s="4" customFormat="1">
      <c r="A367" s="1"/>
      <c r="B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1:40" s="4" customFormat="1">
      <c r="A368" s="1"/>
      <c r="B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1:40" s="4" customFormat="1">
      <c r="A369" s="1"/>
      <c r="B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1:40" s="4" customFormat="1">
      <c r="A370" s="1"/>
      <c r="B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1:40" s="4" customFormat="1">
      <c r="A371" s="1"/>
      <c r="B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1:40" s="4" customFormat="1">
      <c r="A372" s="1"/>
      <c r="B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1:40" s="4" customFormat="1">
      <c r="A373" s="1"/>
      <c r="B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1:40" s="4" customFormat="1">
      <c r="A374" s="1"/>
      <c r="B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1:40" s="4" customFormat="1">
      <c r="A375" s="1"/>
      <c r="B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1:40" s="4" customFormat="1">
      <c r="A376" s="1"/>
      <c r="B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1:40" s="4" customFormat="1">
      <c r="A377" s="1"/>
      <c r="B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1:40" s="4" customFormat="1">
      <c r="A378" s="1"/>
      <c r="B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1:40" s="4" customFormat="1">
      <c r="A379" s="1"/>
      <c r="B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1:40" s="4" customFormat="1">
      <c r="A380" s="1"/>
      <c r="B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1:40" s="4" customFormat="1">
      <c r="A381" s="1"/>
      <c r="B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1:40" s="4" customFormat="1">
      <c r="A382" s="1"/>
      <c r="B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1:40" s="4" customFormat="1">
      <c r="A383" s="1"/>
      <c r="B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1:40" s="4" customFormat="1">
      <c r="A384" s="1"/>
      <c r="B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1:40" s="4" customFormat="1">
      <c r="A385" s="1"/>
      <c r="B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1:40" s="4" customFormat="1">
      <c r="A386" s="1"/>
      <c r="B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</sheetData>
  <mergeCells count="8">
    <mergeCell ref="F26:H27"/>
    <mergeCell ref="I26:J26"/>
    <mergeCell ref="I2:J2"/>
    <mergeCell ref="K2:L2"/>
    <mergeCell ref="I3:I4"/>
    <mergeCell ref="J3:J4"/>
    <mergeCell ref="K3:K4"/>
    <mergeCell ref="L3:L4"/>
  </mergeCells>
  <pageMargins left="0.74803149606299213" right="0.74803149606299213" top="0.98425196850393704" bottom="0.98425196850393704" header="0" footer="0"/>
  <pageSetup paperSize="9" scale="53" fitToHeight="2" orientation="landscape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BC50DA-1F2A-E847-A9A0-4ABBA468607B}">
          <x14:formula1>
            <xm:f>Skattesatser!$B$6:$B$103</xm:f>
          </x14:formula1>
          <xm:sqref>C12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B4EB8-EC63-BD40-9CA4-215E596A97D7}">
  <dimension ref="B2:AA59"/>
  <sheetViews>
    <sheetView zoomScale="118" zoomScaleNormal="80" workbookViewId="0">
      <selection activeCell="W14" sqref="W14"/>
    </sheetView>
  </sheetViews>
  <sheetFormatPr baseColWidth="10" defaultColWidth="9.1640625" defaultRowHeight="13"/>
  <cols>
    <col min="1" max="1" width="3.33203125" style="5" customWidth="1"/>
    <col min="2" max="2" width="7.6640625" style="5" customWidth="1"/>
    <col min="3" max="3" width="19.5" style="5" bestFit="1" customWidth="1"/>
    <col min="4" max="4" width="10.33203125" style="5" bestFit="1" customWidth="1"/>
    <col min="5" max="5" width="20.33203125" style="5" customWidth="1"/>
    <col min="6" max="6" width="12" style="5" customWidth="1"/>
    <col min="7" max="7" width="9.1640625" style="5"/>
    <col min="8" max="8" width="12.5" style="5" customWidth="1"/>
    <col min="9" max="9" width="15.83203125" style="5" customWidth="1"/>
    <col min="10" max="10" width="3.1640625" style="5" customWidth="1"/>
    <col min="11" max="11" width="13.33203125" style="5" bestFit="1" customWidth="1"/>
    <col min="12" max="13" width="9.1640625" style="5"/>
    <col min="14" max="14" width="16.6640625" style="5" customWidth="1"/>
    <col min="15" max="15" width="9.1640625" style="5"/>
    <col min="16" max="16" width="19.33203125" style="5" bestFit="1" customWidth="1"/>
    <col min="17" max="17" width="9.1640625" style="5"/>
    <col min="18" max="18" width="15" style="5" bestFit="1" customWidth="1"/>
    <col min="19" max="16384" width="9.1640625" style="5"/>
  </cols>
  <sheetData>
    <row r="2" spans="2:19" ht="13.5" customHeight="1" thickBot="1">
      <c r="C2" s="151" t="s">
        <v>97</v>
      </c>
      <c r="D2" s="184">
        <f>D4/0.8</f>
        <v>0</v>
      </c>
      <c r="E2" s="185">
        <f>D2/12</f>
        <v>0</v>
      </c>
      <c r="F2" s="186" t="s">
        <v>98</v>
      </c>
    </row>
    <row r="3" spans="2:19" ht="14" thickBot="1">
      <c r="B3" s="187" t="s">
        <v>99</v>
      </c>
      <c r="C3" s="188"/>
      <c r="D3" s="189"/>
      <c r="E3" s="189"/>
      <c r="F3" s="190">
        <v>2025</v>
      </c>
      <c r="G3" s="191" t="s">
        <v>100</v>
      </c>
      <c r="H3" s="192"/>
      <c r="I3" s="193"/>
    </row>
    <row r="4" spans="2:19" ht="17" thickBot="1">
      <c r="B4" s="10"/>
      <c r="C4" s="193" t="s">
        <v>101</v>
      </c>
      <c r="D4" s="194">
        <v>0</v>
      </c>
      <c r="E4" s="195" t="s">
        <v>102</v>
      </c>
      <c r="F4" s="194">
        <v>0</v>
      </c>
      <c r="G4" s="191" t="s">
        <v>103</v>
      </c>
      <c r="H4" s="192"/>
      <c r="I4" s="193"/>
    </row>
    <row r="5" spans="2:19" ht="17" thickBot="1">
      <c r="B5" s="16"/>
      <c r="C5" s="193" t="s">
        <v>104</v>
      </c>
      <c r="D5" s="196">
        <v>0</v>
      </c>
      <c r="E5" s="195" t="s">
        <v>105</v>
      </c>
      <c r="F5" s="194">
        <v>15</v>
      </c>
      <c r="H5" s="43" t="s">
        <v>104</v>
      </c>
      <c r="I5" s="197">
        <v>0</v>
      </c>
      <c r="M5" s="5">
        <v>1</v>
      </c>
      <c r="N5" s="5" t="s">
        <v>106</v>
      </c>
    </row>
    <row r="6" spans="2:19" ht="14" thickBot="1">
      <c r="B6" s="16"/>
      <c r="C6" s="198" t="s">
        <v>107</v>
      </c>
      <c r="D6" s="196">
        <v>0</v>
      </c>
      <c r="E6" s="199">
        <f>(1+$D$6/2)^2-1</f>
        <v>0</v>
      </c>
      <c r="F6" s="200"/>
      <c r="H6" s="195" t="s">
        <v>107</v>
      </c>
      <c r="I6" s="201">
        <v>0</v>
      </c>
      <c r="K6" s="5" t="s">
        <v>108</v>
      </c>
      <c r="M6" s="5">
        <v>2</v>
      </c>
      <c r="N6" s="5" t="s">
        <v>109</v>
      </c>
    </row>
    <row r="7" spans="2:19" ht="17" thickBot="1">
      <c r="B7" s="16"/>
      <c r="C7" s="193" t="s">
        <v>110</v>
      </c>
      <c r="D7" s="196">
        <v>0.153</v>
      </c>
      <c r="E7" s="34" t="s">
        <v>111</v>
      </c>
      <c r="F7" s="202">
        <f>FV($D$6*(1-$D$7),$F$5,0,-$F$4)</f>
        <v>0</v>
      </c>
      <c r="G7" s="182"/>
      <c r="H7" s="195" t="s">
        <v>110</v>
      </c>
      <c r="I7" s="196">
        <v>0.153</v>
      </c>
      <c r="K7" s="203">
        <f>460000*0.6+6000000/2</f>
        <v>3276000</v>
      </c>
      <c r="M7" s="5">
        <v>3</v>
      </c>
      <c r="N7" s="5" t="s">
        <v>112</v>
      </c>
    </row>
    <row r="8" spans="2:19" ht="17" thickBot="1">
      <c r="B8" s="43"/>
      <c r="D8" s="204"/>
      <c r="E8" s="40" t="s">
        <v>113</v>
      </c>
      <c r="F8" s="202">
        <f>PV($D$5,$F$5,0,-$F$7)</f>
        <v>0</v>
      </c>
      <c r="G8" s="205" t="s">
        <v>114</v>
      </c>
      <c r="H8" s="206" t="s">
        <v>115</v>
      </c>
      <c r="I8" s="206" t="s">
        <v>116</v>
      </c>
      <c r="K8" s="4">
        <f>K7/20</f>
        <v>163800</v>
      </c>
      <c r="L8" s="5" t="s">
        <v>117</v>
      </c>
    </row>
    <row r="9" spans="2:19" ht="14" thickBot="1">
      <c r="B9" s="207" t="s">
        <v>118</v>
      </c>
      <c r="C9" s="206" t="s">
        <v>119</v>
      </c>
      <c r="D9" s="208" t="s">
        <v>120</v>
      </c>
      <c r="E9" s="209" t="s">
        <v>121</v>
      </c>
      <c r="F9" s="206" t="s">
        <v>122</v>
      </c>
      <c r="G9" s="210">
        <v>0</v>
      </c>
      <c r="H9" s="211"/>
      <c r="I9" s="212">
        <f>VLOOKUP(F5,B3:F59,5,FALSE)+F8</f>
        <v>0</v>
      </c>
      <c r="J9" s="151"/>
      <c r="K9" s="213">
        <f>K8/0.63</f>
        <v>260000</v>
      </c>
      <c r="L9" s="5" t="s">
        <v>123</v>
      </c>
    </row>
    <row r="10" spans="2:19" ht="16">
      <c r="B10" s="214">
        <v>1</v>
      </c>
      <c r="C10" s="215">
        <f>D4</f>
        <v>0</v>
      </c>
      <c r="D10" s="216">
        <f>C10/2*(1-$D$7)*$D$6</f>
        <v>0</v>
      </c>
      <c r="E10" s="217">
        <f>C10+D10</f>
        <v>0</v>
      </c>
      <c r="F10" s="217">
        <f t="shared" ref="F10:F59" si="0">PV($D$5,B10,0,-E10)</f>
        <v>0</v>
      </c>
      <c r="G10" s="218">
        <f t="shared" ref="G10:G59" si="1">G9+1</f>
        <v>1</v>
      </c>
      <c r="H10" s="219">
        <v>0</v>
      </c>
      <c r="I10" s="220">
        <f t="shared" ref="I10:I59" si="2">(I9-H10/2)*$I$6*(1-$I$7)+I9-H10</f>
        <v>0</v>
      </c>
      <c r="J10" s="151"/>
      <c r="K10" s="151"/>
      <c r="L10" s="151"/>
    </row>
    <row r="11" spans="2:19" ht="16">
      <c r="B11" s="221">
        <f t="shared" ref="B11:B59" si="3">B10+1</f>
        <v>2</v>
      </c>
      <c r="C11" s="217">
        <f>D4*(1+$D$5)</f>
        <v>0</v>
      </c>
      <c r="D11" s="222">
        <f>(E10+C11/2)*(1-$D$7)*$D$6</f>
        <v>0</v>
      </c>
      <c r="E11" s="222">
        <f t="shared" ref="E11:E59" si="4">E10+C11+D11</f>
        <v>0</v>
      </c>
      <c r="F11" s="222">
        <f t="shared" si="0"/>
        <v>0</v>
      </c>
      <c r="G11" s="218">
        <f t="shared" si="1"/>
        <v>2</v>
      </c>
      <c r="H11" s="223">
        <f t="shared" ref="H11:H59" si="5">H10*(1+$I$5)</f>
        <v>0</v>
      </c>
      <c r="I11" s="220">
        <f t="shared" si="2"/>
        <v>0</v>
      </c>
      <c r="J11" s="151" t="s">
        <v>124</v>
      </c>
      <c r="K11" s="151"/>
      <c r="L11" s="151"/>
    </row>
    <row r="12" spans="2:19" ht="16">
      <c r="B12" s="221">
        <f t="shared" si="3"/>
        <v>3</v>
      </c>
      <c r="C12" s="222">
        <f t="shared" ref="C12:C59" si="6">C11*(1+$D$5)</f>
        <v>0</v>
      </c>
      <c r="D12" s="222">
        <f t="shared" ref="D12:D59" si="7">(E11+C12/2)*(1-$D$7)*$D$6</f>
        <v>0</v>
      </c>
      <c r="E12" s="222">
        <f t="shared" si="4"/>
        <v>0</v>
      </c>
      <c r="F12" s="222">
        <f t="shared" si="0"/>
        <v>0</v>
      </c>
      <c r="G12" s="218">
        <f t="shared" si="1"/>
        <v>3</v>
      </c>
      <c r="H12" s="223">
        <f t="shared" si="5"/>
        <v>0</v>
      </c>
      <c r="I12" s="220">
        <f t="shared" si="2"/>
        <v>0</v>
      </c>
      <c r="O12" s="245" t="s">
        <v>125</v>
      </c>
      <c r="P12" s="245"/>
      <c r="Q12" s="245" t="s">
        <v>98</v>
      </c>
      <c r="R12" s="245" t="s">
        <v>126</v>
      </c>
    </row>
    <row r="13" spans="2:19" ht="16">
      <c r="B13" s="221">
        <f t="shared" si="3"/>
        <v>4</v>
      </c>
      <c r="C13" s="222">
        <f t="shared" si="6"/>
        <v>0</v>
      </c>
      <c r="D13" s="222">
        <f t="shared" si="7"/>
        <v>0</v>
      </c>
      <c r="E13" s="222">
        <f t="shared" si="4"/>
        <v>0</v>
      </c>
      <c r="F13" s="222">
        <f t="shared" si="0"/>
        <v>0</v>
      </c>
      <c r="G13" s="218">
        <f t="shared" si="1"/>
        <v>4</v>
      </c>
      <c r="H13" s="223">
        <f t="shared" si="5"/>
        <v>0</v>
      </c>
      <c r="I13" s="220">
        <f t="shared" si="2"/>
        <v>0</v>
      </c>
      <c r="J13" s="151" t="s">
        <v>127</v>
      </c>
      <c r="O13" s="245"/>
      <c r="P13" s="246" t="s">
        <v>128</v>
      </c>
      <c r="Q13" s="247">
        <v>7198</v>
      </c>
      <c r="R13" s="247">
        <f>Q13*12</f>
        <v>86376</v>
      </c>
    </row>
    <row r="14" spans="2:19" ht="16">
      <c r="B14" s="221">
        <f t="shared" si="3"/>
        <v>5</v>
      </c>
      <c r="C14" s="222">
        <f t="shared" si="6"/>
        <v>0</v>
      </c>
      <c r="D14" s="222">
        <f t="shared" si="7"/>
        <v>0</v>
      </c>
      <c r="E14" s="222">
        <f t="shared" si="4"/>
        <v>0</v>
      </c>
      <c r="F14" s="222">
        <f t="shared" si="0"/>
        <v>0</v>
      </c>
      <c r="G14" s="218">
        <f t="shared" si="1"/>
        <v>5</v>
      </c>
      <c r="H14" s="223">
        <f t="shared" si="5"/>
        <v>0</v>
      </c>
      <c r="I14" s="220">
        <f t="shared" si="2"/>
        <v>0</v>
      </c>
      <c r="J14" s="151" t="s">
        <v>129</v>
      </c>
      <c r="O14" s="245"/>
      <c r="P14" s="246" t="s">
        <v>130</v>
      </c>
      <c r="Q14" s="247">
        <v>8329</v>
      </c>
      <c r="R14" s="247">
        <f>Q14*12</f>
        <v>99948</v>
      </c>
    </row>
    <row r="15" spans="2:19" ht="16">
      <c r="B15" s="221">
        <f t="shared" si="3"/>
        <v>6</v>
      </c>
      <c r="C15" s="222">
        <f t="shared" si="6"/>
        <v>0</v>
      </c>
      <c r="D15" s="222">
        <f t="shared" si="7"/>
        <v>0</v>
      </c>
      <c r="E15" s="222">
        <f t="shared" si="4"/>
        <v>0</v>
      </c>
      <c r="F15" s="222">
        <f t="shared" si="0"/>
        <v>0</v>
      </c>
      <c r="G15" s="218">
        <f t="shared" si="1"/>
        <v>6</v>
      </c>
      <c r="H15" s="223">
        <f t="shared" si="5"/>
        <v>0</v>
      </c>
      <c r="I15" s="220">
        <f t="shared" si="2"/>
        <v>0</v>
      </c>
      <c r="J15" s="151"/>
      <c r="O15" s="245"/>
      <c r="P15" s="246" t="s">
        <v>131</v>
      </c>
      <c r="Q15" s="247">
        <v>4262</v>
      </c>
      <c r="R15" s="247">
        <f>Q15*12</f>
        <v>51144</v>
      </c>
      <c r="S15" s="5" t="s">
        <v>132</v>
      </c>
    </row>
    <row r="16" spans="2:19" ht="16">
      <c r="B16" s="221">
        <f t="shared" si="3"/>
        <v>7</v>
      </c>
      <c r="C16" s="222">
        <f t="shared" si="6"/>
        <v>0</v>
      </c>
      <c r="D16" s="222">
        <f t="shared" si="7"/>
        <v>0</v>
      </c>
      <c r="E16" s="222">
        <f t="shared" si="4"/>
        <v>0</v>
      </c>
      <c r="F16" s="222">
        <f t="shared" si="0"/>
        <v>0</v>
      </c>
      <c r="G16" s="218">
        <f t="shared" si="1"/>
        <v>7</v>
      </c>
      <c r="H16" s="223">
        <f t="shared" si="5"/>
        <v>0</v>
      </c>
      <c r="I16" s="220">
        <f t="shared" si="2"/>
        <v>0</v>
      </c>
      <c r="Q16" s="4"/>
      <c r="R16" s="4"/>
    </row>
    <row r="17" spans="2:27" ht="16">
      <c r="B17" s="221">
        <f t="shared" si="3"/>
        <v>8</v>
      </c>
      <c r="C17" s="222">
        <f t="shared" si="6"/>
        <v>0</v>
      </c>
      <c r="D17" s="222">
        <f>(E16+C17/2)*(1-$D$7)*$D$6</f>
        <v>0</v>
      </c>
      <c r="E17" s="222">
        <f t="shared" si="4"/>
        <v>0</v>
      </c>
      <c r="F17" s="222">
        <f t="shared" si="0"/>
        <v>0</v>
      </c>
      <c r="G17" s="218">
        <f t="shared" si="1"/>
        <v>8</v>
      </c>
      <c r="H17" s="223">
        <f t="shared" si="5"/>
        <v>0</v>
      </c>
      <c r="I17" s="220">
        <f t="shared" si="2"/>
        <v>0</v>
      </c>
      <c r="J17" s="151"/>
      <c r="P17" s="5" t="s">
        <v>133</v>
      </c>
      <c r="Q17" s="4" t="s">
        <v>98</v>
      </c>
      <c r="R17" s="4" t="s">
        <v>126</v>
      </c>
    </row>
    <row r="18" spans="2:27" ht="16">
      <c r="B18" s="221">
        <f t="shared" si="3"/>
        <v>9</v>
      </c>
      <c r="C18" s="222">
        <f t="shared" si="6"/>
        <v>0</v>
      </c>
      <c r="D18" s="222">
        <f>(E17+C18/2)*(1-$D$7)*$D$6</f>
        <v>0</v>
      </c>
      <c r="E18" s="222">
        <f t="shared" si="4"/>
        <v>0</v>
      </c>
      <c r="F18" s="222">
        <f t="shared" si="0"/>
        <v>0</v>
      </c>
      <c r="G18" s="218">
        <f t="shared" si="1"/>
        <v>9</v>
      </c>
      <c r="H18" s="223">
        <f t="shared" si="5"/>
        <v>0</v>
      </c>
      <c r="I18" s="220">
        <f t="shared" si="2"/>
        <v>0</v>
      </c>
      <c r="J18" s="151"/>
      <c r="K18" s="151"/>
      <c r="L18" s="151"/>
      <c r="M18" s="151"/>
      <c r="P18" s="246" t="s">
        <v>134</v>
      </c>
      <c r="Q18" s="247">
        <f>R18/12</f>
        <v>2343.25</v>
      </c>
      <c r="R18" s="247">
        <v>28119</v>
      </c>
    </row>
    <row r="19" spans="2:27" ht="17" thickBot="1">
      <c r="B19" s="221">
        <f t="shared" si="3"/>
        <v>10</v>
      </c>
      <c r="C19" s="222">
        <f t="shared" si="6"/>
        <v>0</v>
      </c>
      <c r="D19" s="222">
        <f t="shared" si="7"/>
        <v>0</v>
      </c>
      <c r="E19" s="222">
        <f t="shared" si="4"/>
        <v>0</v>
      </c>
      <c r="F19" s="222">
        <f t="shared" si="0"/>
        <v>0</v>
      </c>
      <c r="G19" s="218">
        <f t="shared" si="1"/>
        <v>10</v>
      </c>
      <c r="H19" s="223">
        <f t="shared" si="5"/>
        <v>0</v>
      </c>
      <c r="I19" s="220">
        <f t="shared" si="2"/>
        <v>0</v>
      </c>
      <c r="J19" s="151"/>
      <c r="K19" s="151"/>
      <c r="L19" s="151"/>
      <c r="M19" s="151"/>
    </row>
    <row r="20" spans="2:27" ht="16">
      <c r="B20" s="221">
        <f t="shared" si="3"/>
        <v>11</v>
      </c>
      <c r="C20" s="222">
        <f t="shared" si="6"/>
        <v>0</v>
      </c>
      <c r="D20" s="222">
        <f t="shared" si="7"/>
        <v>0</v>
      </c>
      <c r="E20" s="222">
        <f t="shared" si="4"/>
        <v>0</v>
      </c>
      <c r="F20" s="222">
        <f t="shared" si="0"/>
        <v>0</v>
      </c>
      <c r="G20" s="218">
        <f t="shared" si="1"/>
        <v>11</v>
      </c>
      <c r="H20" s="223">
        <f t="shared" si="5"/>
        <v>0</v>
      </c>
      <c r="I20" s="220">
        <f t="shared" si="2"/>
        <v>0</v>
      </c>
      <c r="J20" s="151"/>
      <c r="K20" s="151"/>
      <c r="L20" s="151"/>
      <c r="M20" s="151"/>
      <c r="P20" s="57" t="s">
        <v>135</v>
      </c>
      <c r="Q20" s="189"/>
      <c r="R20" s="224">
        <f>80000*12</f>
        <v>960000</v>
      </c>
    </row>
    <row r="21" spans="2:27" ht="17" thickBot="1">
      <c r="B21" s="221">
        <f t="shared" si="3"/>
        <v>12</v>
      </c>
      <c r="C21" s="222">
        <f t="shared" si="6"/>
        <v>0</v>
      </c>
      <c r="D21" s="222">
        <f t="shared" si="7"/>
        <v>0</v>
      </c>
      <c r="E21" s="222">
        <f t="shared" si="4"/>
        <v>0</v>
      </c>
      <c r="F21" s="222">
        <f t="shared" si="0"/>
        <v>0</v>
      </c>
      <c r="G21" s="218">
        <f t="shared" si="1"/>
        <v>12</v>
      </c>
      <c r="H21" s="223">
        <f t="shared" si="5"/>
        <v>0</v>
      </c>
      <c r="I21" s="220">
        <f t="shared" si="2"/>
        <v>0</v>
      </c>
      <c r="J21" s="151"/>
      <c r="K21" s="151"/>
      <c r="L21" s="151"/>
      <c r="M21" s="151"/>
      <c r="P21" s="63" t="s">
        <v>136</v>
      </c>
      <c r="Q21" s="225">
        <v>0.8</v>
      </c>
      <c r="R21" s="226">
        <f>R20*Q21</f>
        <v>768000</v>
      </c>
    </row>
    <row r="22" spans="2:27" ht="16">
      <c r="B22" s="221">
        <f t="shared" si="3"/>
        <v>13</v>
      </c>
      <c r="C22" s="222">
        <f t="shared" si="6"/>
        <v>0</v>
      </c>
      <c r="D22" s="222">
        <f t="shared" si="7"/>
        <v>0</v>
      </c>
      <c r="E22" s="222">
        <f t="shared" si="4"/>
        <v>0</v>
      </c>
      <c r="F22" s="222">
        <f t="shared" si="0"/>
        <v>0</v>
      </c>
      <c r="G22" s="218">
        <f t="shared" si="1"/>
        <v>13</v>
      </c>
      <c r="H22" s="223">
        <f t="shared" si="5"/>
        <v>0</v>
      </c>
      <c r="I22" s="220">
        <f t="shared" si="2"/>
        <v>0</v>
      </c>
      <c r="J22" s="151"/>
      <c r="K22" s="151"/>
      <c r="L22" s="151"/>
      <c r="M22" s="151"/>
      <c r="P22" s="48" t="s">
        <v>137</v>
      </c>
      <c r="R22" s="227">
        <f>R13</f>
        <v>86376</v>
      </c>
      <c r="S22" s="5" t="s">
        <v>138</v>
      </c>
    </row>
    <row r="23" spans="2:27" ht="16">
      <c r="B23" s="221">
        <f t="shared" si="3"/>
        <v>14</v>
      </c>
      <c r="C23" s="222">
        <f t="shared" si="6"/>
        <v>0</v>
      </c>
      <c r="D23" s="222">
        <f t="shared" si="7"/>
        <v>0</v>
      </c>
      <c r="E23" s="222">
        <f t="shared" si="4"/>
        <v>0</v>
      </c>
      <c r="F23" s="222">
        <f t="shared" si="0"/>
        <v>0</v>
      </c>
      <c r="G23" s="218">
        <f t="shared" si="1"/>
        <v>14</v>
      </c>
      <c r="H23" s="223">
        <f t="shared" si="5"/>
        <v>0</v>
      </c>
      <c r="I23" s="220">
        <f t="shared" si="2"/>
        <v>0</v>
      </c>
      <c r="J23" s="151"/>
      <c r="K23" s="151"/>
      <c r="L23" s="151"/>
      <c r="M23" s="151"/>
      <c r="P23" s="48" t="s">
        <v>139</v>
      </c>
      <c r="R23" s="227">
        <v>17900</v>
      </c>
      <c r="S23" s="5" t="str">
        <f>S22</f>
        <v>juster så det passer</v>
      </c>
    </row>
    <row r="24" spans="2:27" ht="16">
      <c r="B24" s="221">
        <f t="shared" si="3"/>
        <v>15</v>
      </c>
      <c r="C24" s="222">
        <f t="shared" si="6"/>
        <v>0</v>
      </c>
      <c r="D24" s="222">
        <f t="shared" si="7"/>
        <v>0</v>
      </c>
      <c r="E24" s="222">
        <f t="shared" si="4"/>
        <v>0</v>
      </c>
      <c r="F24" s="222">
        <f t="shared" si="0"/>
        <v>0</v>
      </c>
      <c r="G24" s="218">
        <f t="shared" si="1"/>
        <v>15</v>
      </c>
      <c r="H24" s="223">
        <f t="shared" si="5"/>
        <v>0</v>
      </c>
      <c r="I24" s="220">
        <f t="shared" si="2"/>
        <v>0</v>
      </c>
      <c r="J24" s="151"/>
      <c r="K24" s="151"/>
      <c r="L24" s="151"/>
      <c r="M24" s="151"/>
      <c r="P24" s="48" t="s">
        <v>140</v>
      </c>
      <c r="R24" s="227">
        <f>26500/2+27000/2+383000/2+92000</f>
        <v>310250</v>
      </c>
      <c r="S24" s="5" t="s">
        <v>141</v>
      </c>
      <c r="U24" s="263" t="s">
        <v>142</v>
      </c>
      <c r="V24" s="263"/>
      <c r="W24" s="263"/>
      <c r="X24" s="263"/>
      <c r="Y24" s="263"/>
      <c r="Z24" s="263"/>
      <c r="AA24" s="263"/>
    </row>
    <row r="25" spans="2:27" ht="17" thickBot="1">
      <c r="B25" s="221">
        <f t="shared" si="3"/>
        <v>16</v>
      </c>
      <c r="C25" s="222">
        <f t="shared" si="6"/>
        <v>0</v>
      </c>
      <c r="D25" s="222">
        <f t="shared" si="7"/>
        <v>0</v>
      </c>
      <c r="E25" s="222">
        <f t="shared" si="4"/>
        <v>0</v>
      </c>
      <c r="F25" s="222">
        <f t="shared" si="0"/>
        <v>0</v>
      </c>
      <c r="G25" s="218">
        <f t="shared" si="1"/>
        <v>16</v>
      </c>
      <c r="H25" s="223">
        <f t="shared" si="5"/>
        <v>0</v>
      </c>
      <c r="I25" s="220">
        <f t="shared" si="2"/>
        <v>0</v>
      </c>
      <c r="P25" s="48" t="s">
        <v>143</v>
      </c>
      <c r="R25" s="228">
        <f>K9</f>
        <v>260000</v>
      </c>
      <c r="S25" s="5" t="s">
        <v>144</v>
      </c>
      <c r="U25" s="263"/>
      <c r="V25" s="263"/>
      <c r="W25" s="263"/>
      <c r="X25" s="263"/>
      <c r="Y25" s="263"/>
      <c r="Z25" s="263"/>
      <c r="AA25" s="263"/>
    </row>
    <row r="26" spans="2:27" ht="17" thickBot="1">
      <c r="B26" s="221">
        <f t="shared" si="3"/>
        <v>17</v>
      </c>
      <c r="C26" s="222">
        <f t="shared" si="6"/>
        <v>0</v>
      </c>
      <c r="D26" s="222">
        <f t="shared" si="7"/>
        <v>0</v>
      </c>
      <c r="E26" s="222">
        <f t="shared" si="4"/>
        <v>0</v>
      </c>
      <c r="F26" s="222">
        <f t="shared" si="0"/>
        <v>0</v>
      </c>
      <c r="G26" s="218">
        <f t="shared" si="1"/>
        <v>17</v>
      </c>
      <c r="H26" s="223">
        <f t="shared" si="5"/>
        <v>0</v>
      </c>
      <c r="I26" s="220">
        <f t="shared" si="2"/>
        <v>0</v>
      </c>
      <c r="P26" s="229" t="s">
        <v>145</v>
      </c>
      <c r="Q26" s="230"/>
      <c r="R26" s="231">
        <f>R21-R22-R23-R24-R25</f>
        <v>93474</v>
      </c>
    </row>
    <row r="27" spans="2:27" ht="17" thickBot="1">
      <c r="B27" s="221">
        <f t="shared" si="3"/>
        <v>18</v>
      </c>
      <c r="C27" s="222">
        <f t="shared" si="6"/>
        <v>0</v>
      </c>
      <c r="D27" s="222">
        <f t="shared" si="7"/>
        <v>0</v>
      </c>
      <c r="E27" s="222">
        <f t="shared" si="4"/>
        <v>0</v>
      </c>
      <c r="F27" s="222">
        <f t="shared" si="0"/>
        <v>0</v>
      </c>
      <c r="G27" s="218">
        <f t="shared" si="1"/>
        <v>18</v>
      </c>
      <c r="H27" s="223">
        <f t="shared" si="5"/>
        <v>0</v>
      </c>
      <c r="I27" s="220">
        <f t="shared" si="2"/>
        <v>0</v>
      </c>
      <c r="J27" s="151"/>
    </row>
    <row r="28" spans="2:27" ht="16">
      <c r="B28" s="221">
        <f t="shared" si="3"/>
        <v>19</v>
      </c>
      <c r="C28" s="222">
        <f t="shared" si="6"/>
        <v>0</v>
      </c>
      <c r="D28" s="222">
        <f t="shared" si="7"/>
        <v>0</v>
      </c>
      <c r="E28" s="222">
        <f t="shared" si="4"/>
        <v>0</v>
      </c>
      <c r="F28" s="222">
        <f t="shared" si="0"/>
        <v>0</v>
      </c>
      <c r="G28" s="218">
        <f t="shared" si="1"/>
        <v>19</v>
      </c>
      <c r="H28" s="223">
        <f t="shared" si="5"/>
        <v>0</v>
      </c>
      <c r="I28" s="220">
        <f t="shared" si="2"/>
        <v>0</v>
      </c>
      <c r="J28" s="151"/>
      <c r="P28" s="232" t="s">
        <v>146</v>
      </c>
      <c r="Q28" s="233"/>
      <c r="R28" s="234">
        <f>R22+R23+R24+R25</f>
        <v>674526</v>
      </c>
    </row>
    <row r="29" spans="2:27" ht="17" thickBot="1">
      <c r="B29" s="221">
        <f t="shared" si="3"/>
        <v>20</v>
      </c>
      <c r="C29" s="222">
        <f t="shared" si="6"/>
        <v>0</v>
      </c>
      <c r="D29" s="222">
        <f t="shared" si="7"/>
        <v>0</v>
      </c>
      <c r="E29" s="222">
        <f t="shared" si="4"/>
        <v>0</v>
      </c>
      <c r="F29" s="222">
        <f t="shared" si="0"/>
        <v>0</v>
      </c>
      <c r="G29" s="218">
        <f t="shared" si="1"/>
        <v>20</v>
      </c>
      <c r="H29" s="223">
        <f t="shared" si="5"/>
        <v>0</v>
      </c>
      <c r="I29" s="235">
        <f t="shared" si="2"/>
        <v>0</v>
      </c>
      <c r="J29" s="151"/>
      <c r="P29" s="236" t="s">
        <v>147</v>
      </c>
      <c r="Q29" s="237"/>
      <c r="R29" s="238">
        <f>R28/R20</f>
        <v>0.70263125000000004</v>
      </c>
    </row>
    <row r="30" spans="2:27" ht="16">
      <c r="B30" s="221">
        <f t="shared" si="3"/>
        <v>21</v>
      </c>
      <c r="C30" s="222">
        <f t="shared" si="6"/>
        <v>0</v>
      </c>
      <c r="D30" s="222">
        <f t="shared" si="7"/>
        <v>0</v>
      </c>
      <c r="E30" s="222">
        <f t="shared" si="4"/>
        <v>0</v>
      </c>
      <c r="F30" s="222">
        <f t="shared" si="0"/>
        <v>0</v>
      </c>
      <c r="G30" s="218">
        <f t="shared" si="1"/>
        <v>21</v>
      </c>
      <c r="H30" s="223">
        <f t="shared" si="5"/>
        <v>0</v>
      </c>
      <c r="I30" s="220">
        <f t="shared" si="2"/>
        <v>0</v>
      </c>
    </row>
    <row r="31" spans="2:27" ht="16">
      <c r="B31" s="221">
        <f t="shared" si="3"/>
        <v>22</v>
      </c>
      <c r="C31" s="222">
        <f t="shared" si="6"/>
        <v>0</v>
      </c>
      <c r="D31" s="222">
        <f t="shared" si="7"/>
        <v>0</v>
      </c>
      <c r="E31" s="222">
        <f t="shared" si="4"/>
        <v>0</v>
      </c>
      <c r="F31" s="222">
        <f t="shared" si="0"/>
        <v>0</v>
      </c>
      <c r="G31" s="218">
        <f t="shared" si="1"/>
        <v>22</v>
      </c>
      <c r="H31" s="223">
        <f t="shared" si="5"/>
        <v>0</v>
      </c>
      <c r="I31" s="220">
        <f t="shared" si="2"/>
        <v>0</v>
      </c>
      <c r="J31" s="151"/>
    </row>
    <row r="32" spans="2:27" ht="16">
      <c r="B32" s="221">
        <f t="shared" si="3"/>
        <v>23</v>
      </c>
      <c r="C32" s="222">
        <f t="shared" si="6"/>
        <v>0</v>
      </c>
      <c r="D32" s="222">
        <f t="shared" si="7"/>
        <v>0</v>
      </c>
      <c r="E32" s="222">
        <f t="shared" si="4"/>
        <v>0</v>
      </c>
      <c r="F32" s="222">
        <f t="shared" si="0"/>
        <v>0</v>
      </c>
      <c r="G32" s="218">
        <f t="shared" si="1"/>
        <v>23</v>
      </c>
      <c r="H32" s="223">
        <f t="shared" si="5"/>
        <v>0</v>
      </c>
      <c r="I32" s="220">
        <f t="shared" si="2"/>
        <v>0</v>
      </c>
      <c r="J32" s="151"/>
    </row>
    <row r="33" spans="2:25" ht="16">
      <c r="B33" s="221">
        <f t="shared" si="3"/>
        <v>24</v>
      </c>
      <c r="C33" s="222">
        <f t="shared" si="6"/>
        <v>0</v>
      </c>
      <c r="D33" s="222">
        <f t="shared" si="7"/>
        <v>0</v>
      </c>
      <c r="E33" s="222">
        <f t="shared" si="4"/>
        <v>0</v>
      </c>
      <c r="F33" s="222">
        <f t="shared" si="0"/>
        <v>0</v>
      </c>
      <c r="G33" s="218">
        <f t="shared" si="1"/>
        <v>24</v>
      </c>
      <c r="H33" s="223">
        <f t="shared" si="5"/>
        <v>0</v>
      </c>
      <c r="I33" s="220">
        <f t="shared" si="2"/>
        <v>0</v>
      </c>
      <c r="K33" s="5" t="s">
        <v>148</v>
      </c>
    </row>
    <row r="34" spans="2:25" ht="16">
      <c r="B34" s="221">
        <f t="shared" si="3"/>
        <v>25</v>
      </c>
      <c r="C34" s="222">
        <f t="shared" si="6"/>
        <v>0</v>
      </c>
      <c r="D34" s="222">
        <f t="shared" si="7"/>
        <v>0</v>
      </c>
      <c r="E34" s="222">
        <f t="shared" si="4"/>
        <v>0</v>
      </c>
      <c r="F34" s="222">
        <f t="shared" si="0"/>
        <v>0</v>
      </c>
      <c r="G34" s="218">
        <f t="shared" si="1"/>
        <v>25</v>
      </c>
      <c r="H34" s="223">
        <f t="shared" si="5"/>
        <v>0</v>
      </c>
      <c r="I34" s="220">
        <f t="shared" si="2"/>
        <v>0</v>
      </c>
      <c r="K34" s="5" t="s">
        <v>149</v>
      </c>
      <c r="Y34" s="5" t="s">
        <v>76</v>
      </c>
    </row>
    <row r="35" spans="2:25" ht="16">
      <c r="B35" s="221">
        <f t="shared" si="3"/>
        <v>26</v>
      </c>
      <c r="C35" s="222">
        <f t="shared" si="6"/>
        <v>0</v>
      </c>
      <c r="D35" s="222">
        <f t="shared" si="7"/>
        <v>0</v>
      </c>
      <c r="E35" s="222">
        <f t="shared" si="4"/>
        <v>0</v>
      </c>
      <c r="F35" s="222">
        <f t="shared" si="0"/>
        <v>0</v>
      </c>
      <c r="G35" s="218">
        <f t="shared" si="1"/>
        <v>26</v>
      </c>
      <c r="H35" s="223">
        <f t="shared" si="5"/>
        <v>0</v>
      </c>
      <c r="I35" s="220">
        <f t="shared" si="2"/>
        <v>0</v>
      </c>
      <c r="K35" s="5" t="s">
        <v>150</v>
      </c>
    </row>
    <row r="36" spans="2:25" ht="16">
      <c r="B36" s="221">
        <f t="shared" si="3"/>
        <v>27</v>
      </c>
      <c r="C36" s="222">
        <f t="shared" si="6"/>
        <v>0</v>
      </c>
      <c r="D36" s="222">
        <f t="shared" si="7"/>
        <v>0</v>
      </c>
      <c r="E36" s="222">
        <f t="shared" si="4"/>
        <v>0</v>
      </c>
      <c r="F36" s="222">
        <f t="shared" si="0"/>
        <v>0</v>
      </c>
      <c r="G36" s="218">
        <f t="shared" si="1"/>
        <v>27</v>
      </c>
      <c r="H36" s="223">
        <f t="shared" si="5"/>
        <v>0</v>
      </c>
      <c r="I36" s="220">
        <f t="shared" si="2"/>
        <v>0</v>
      </c>
    </row>
    <row r="37" spans="2:25" ht="16">
      <c r="B37" s="221">
        <f t="shared" si="3"/>
        <v>28</v>
      </c>
      <c r="C37" s="222">
        <f t="shared" si="6"/>
        <v>0</v>
      </c>
      <c r="D37" s="222">
        <f t="shared" si="7"/>
        <v>0</v>
      </c>
      <c r="E37" s="222">
        <f t="shared" si="4"/>
        <v>0</v>
      </c>
      <c r="F37" s="222">
        <f t="shared" si="0"/>
        <v>0</v>
      </c>
      <c r="G37" s="218">
        <f t="shared" si="1"/>
        <v>28</v>
      </c>
      <c r="H37" s="223">
        <f t="shared" si="5"/>
        <v>0</v>
      </c>
      <c r="I37" s="220">
        <f t="shared" si="2"/>
        <v>0</v>
      </c>
    </row>
    <row r="38" spans="2:25" ht="16">
      <c r="B38" s="221">
        <f t="shared" si="3"/>
        <v>29</v>
      </c>
      <c r="C38" s="222">
        <f t="shared" si="6"/>
        <v>0</v>
      </c>
      <c r="D38" s="222">
        <f t="shared" si="7"/>
        <v>0</v>
      </c>
      <c r="E38" s="222">
        <f t="shared" si="4"/>
        <v>0</v>
      </c>
      <c r="F38" s="222">
        <f t="shared" si="0"/>
        <v>0</v>
      </c>
      <c r="G38" s="218">
        <f t="shared" si="1"/>
        <v>29</v>
      </c>
      <c r="H38" s="223">
        <f t="shared" si="5"/>
        <v>0</v>
      </c>
      <c r="I38" s="220">
        <f t="shared" si="2"/>
        <v>0</v>
      </c>
    </row>
    <row r="39" spans="2:25" ht="16">
      <c r="B39" s="221">
        <f t="shared" si="3"/>
        <v>30</v>
      </c>
      <c r="C39" s="222">
        <f t="shared" si="6"/>
        <v>0</v>
      </c>
      <c r="D39" s="222">
        <f t="shared" si="7"/>
        <v>0</v>
      </c>
      <c r="E39" s="222">
        <f t="shared" si="4"/>
        <v>0</v>
      </c>
      <c r="F39" s="222">
        <f t="shared" si="0"/>
        <v>0</v>
      </c>
      <c r="G39" s="218">
        <f t="shared" si="1"/>
        <v>30</v>
      </c>
      <c r="H39" s="223">
        <f t="shared" si="5"/>
        <v>0</v>
      </c>
      <c r="I39" s="220">
        <f t="shared" si="2"/>
        <v>0</v>
      </c>
    </row>
    <row r="40" spans="2:25" ht="16">
      <c r="B40" s="221">
        <f t="shared" si="3"/>
        <v>31</v>
      </c>
      <c r="C40" s="222">
        <f t="shared" si="6"/>
        <v>0</v>
      </c>
      <c r="D40" s="222">
        <f t="shared" si="7"/>
        <v>0</v>
      </c>
      <c r="E40" s="222">
        <f t="shared" si="4"/>
        <v>0</v>
      </c>
      <c r="F40" s="222">
        <f t="shared" si="0"/>
        <v>0</v>
      </c>
      <c r="G40" s="218">
        <f t="shared" si="1"/>
        <v>31</v>
      </c>
      <c r="H40" s="223">
        <f t="shared" si="5"/>
        <v>0</v>
      </c>
      <c r="I40" s="220">
        <f t="shared" si="2"/>
        <v>0</v>
      </c>
    </row>
    <row r="41" spans="2:25" ht="16">
      <c r="B41" s="221">
        <f t="shared" si="3"/>
        <v>32</v>
      </c>
      <c r="C41" s="222">
        <f t="shared" si="6"/>
        <v>0</v>
      </c>
      <c r="D41" s="222">
        <f t="shared" si="7"/>
        <v>0</v>
      </c>
      <c r="E41" s="222">
        <f t="shared" si="4"/>
        <v>0</v>
      </c>
      <c r="F41" s="222">
        <f t="shared" si="0"/>
        <v>0</v>
      </c>
      <c r="G41" s="218">
        <f t="shared" si="1"/>
        <v>32</v>
      </c>
      <c r="H41" s="223">
        <f t="shared" si="5"/>
        <v>0</v>
      </c>
      <c r="I41" s="220">
        <f t="shared" si="2"/>
        <v>0</v>
      </c>
    </row>
    <row r="42" spans="2:25" ht="16">
      <c r="B42" s="221">
        <f t="shared" si="3"/>
        <v>33</v>
      </c>
      <c r="C42" s="222">
        <f t="shared" si="6"/>
        <v>0</v>
      </c>
      <c r="D42" s="222">
        <f t="shared" si="7"/>
        <v>0</v>
      </c>
      <c r="E42" s="222">
        <f t="shared" si="4"/>
        <v>0</v>
      </c>
      <c r="F42" s="222">
        <f t="shared" si="0"/>
        <v>0</v>
      </c>
      <c r="G42" s="218">
        <f t="shared" si="1"/>
        <v>33</v>
      </c>
      <c r="H42" s="223">
        <f t="shared" si="5"/>
        <v>0</v>
      </c>
      <c r="I42" s="220">
        <f t="shared" si="2"/>
        <v>0</v>
      </c>
    </row>
    <row r="43" spans="2:25" ht="16">
      <c r="B43" s="221">
        <f t="shared" si="3"/>
        <v>34</v>
      </c>
      <c r="C43" s="222">
        <f t="shared" si="6"/>
        <v>0</v>
      </c>
      <c r="D43" s="222">
        <f t="shared" si="7"/>
        <v>0</v>
      </c>
      <c r="E43" s="222">
        <f t="shared" si="4"/>
        <v>0</v>
      </c>
      <c r="F43" s="222">
        <f t="shared" si="0"/>
        <v>0</v>
      </c>
      <c r="G43" s="218">
        <f t="shared" si="1"/>
        <v>34</v>
      </c>
      <c r="H43" s="223">
        <f t="shared" si="5"/>
        <v>0</v>
      </c>
      <c r="I43" s="220">
        <f t="shared" si="2"/>
        <v>0</v>
      </c>
    </row>
    <row r="44" spans="2:25" ht="16">
      <c r="B44" s="221">
        <f t="shared" si="3"/>
        <v>35</v>
      </c>
      <c r="C44" s="222">
        <f t="shared" si="6"/>
        <v>0</v>
      </c>
      <c r="D44" s="222">
        <f t="shared" si="7"/>
        <v>0</v>
      </c>
      <c r="E44" s="222">
        <f t="shared" si="4"/>
        <v>0</v>
      </c>
      <c r="F44" s="222">
        <f t="shared" si="0"/>
        <v>0</v>
      </c>
      <c r="G44" s="218">
        <f t="shared" si="1"/>
        <v>35</v>
      </c>
      <c r="H44" s="223">
        <f t="shared" si="5"/>
        <v>0</v>
      </c>
      <c r="I44" s="220">
        <f t="shared" si="2"/>
        <v>0</v>
      </c>
    </row>
    <row r="45" spans="2:25" ht="16">
      <c r="B45" s="221">
        <f t="shared" si="3"/>
        <v>36</v>
      </c>
      <c r="C45" s="222">
        <f t="shared" si="6"/>
        <v>0</v>
      </c>
      <c r="D45" s="222">
        <f t="shared" si="7"/>
        <v>0</v>
      </c>
      <c r="E45" s="222">
        <f t="shared" si="4"/>
        <v>0</v>
      </c>
      <c r="F45" s="222">
        <f t="shared" si="0"/>
        <v>0</v>
      </c>
      <c r="G45" s="218">
        <f t="shared" si="1"/>
        <v>36</v>
      </c>
      <c r="H45" s="223">
        <f t="shared" si="5"/>
        <v>0</v>
      </c>
      <c r="I45" s="220">
        <f t="shared" si="2"/>
        <v>0</v>
      </c>
    </row>
    <row r="46" spans="2:25" ht="16">
      <c r="B46" s="221">
        <f t="shared" si="3"/>
        <v>37</v>
      </c>
      <c r="C46" s="222">
        <f t="shared" si="6"/>
        <v>0</v>
      </c>
      <c r="D46" s="222">
        <f t="shared" si="7"/>
        <v>0</v>
      </c>
      <c r="E46" s="222">
        <f t="shared" si="4"/>
        <v>0</v>
      </c>
      <c r="F46" s="222">
        <f t="shared" si="0"/>
        <v>0</v>
      </c>
      <c r="G46" s="218">
        <f t="shared" si="1"/>
        <v>37</v>
      </c>
      <c r="H46" s="223">
        <f t="shared" si="5"/>
        <v>0</v>
      </c>
      <c r="I46" s="220">
        <f t="shared" si="2"/>
        <v>0</v>
      </c>
    </row>
    <row r="47" spans="2:25" ht="16">
      <c r="B47" s="221">
        <f t="shared" si="3"/>
        <v>38</v>
      </c>
      <c r="C47" s="222">
        <f t="shared" si="6"/>
        <v>0</v>
      </c>
      <c r="D47" s="222">
        <f t="shared" si="7"/>
        <v>0</v>
      </c>
      <c r="E47" s="222">
        <f t="shared" si="4"/>
        <v>0</v>
      </c>
      <c r="F47" s="222">
        <f t="shared" si="0"/>
        <v>0</v>
      </c>
      <c r="G47" s="218">
        <f t="shared" si="1"/>
        <v>38</v>
      </c>
      <c r="H47" s="223">
        <f t="shared" si="5"/>
        <v>0</v>
      </c>
      <c r="I47" s="220">
        <f t="shared" si="2"/>
        <v>0</v>
      </c>
    </row>
    <row r="48" spans="2:25" ht="16">
      <c r="B48" s="221">
        <f t="shared" si="3"/>
        <v>39</v>
      </c>
      <c r="C48" s="222">
        <f t="shared" si="6"/>
        <v>0</v>
      </c>
      <c r="D48" s="222">
        <f t="shared" si="7"/>
        <v>0</v>
      </c>
      <c r="E48" s="222">
        <f t="shared" si="4"/>
        <v>0</v>
      </c>
      <c r="F48" s="222">
        <f t="shared" si="0"/>
        <v>0</v>
      </c>
      <c r="G48" s="218">
        <f t="shared" si="1"/>
        <v>39</v>
      </c>
      <c r="H48" s="223">
        <f t="shared" si="5"/>
        <v>0</v>
      </c>
      <c r="I48" s="220">
        <f t="shared" si="2"/>
        <v>0</v>
      </c>
    </row>
    <row r="49" spans="2:9" ht="16">
      <c r="B49" s="221">
        <f t="shared" si="3"/>
        <v>40</v>
      </c>
      <c r="C49" s="222">
        <f t="shared" si="6"/>
        <v>0</v>
      </c>
      <c r="D49" s="222">
        <f t="shared" si="7"/>
        <v>0</v>
      </c>
      <c r="E49" s="222">
        <f t="shared" si="4"/>
        <v>0</v>
      </c>
      <c r="F49" s="222">
        <f t="shared" si="0"/>
        <v>0</v>
      </c>
      <c r="G49" s="218">
        <f t="shared" si="1"/>
        <v>40</v>
      </c>
      <c r="H49" s="223">
        <f t="shared" si="5"/>
        <v>0</v>
      </c>
      <c r="I49" s="220">
        <f t="shared" si="2"/>
        <v>0</v>
      </c>
    </row>
    <row r="50" spans="2:9" ht="16">
      <c r="B50" s="221">
        <f t="shared" si="3"/>
        <v>41</v>
      </c>
      <c r="C50" s="222">
        <f t="shared" si="6"/>
        <v>0</v>
      </c>
      <c r="D50" s="222">
        <f t="shared" si="7"/>
        <v>0</v>
      </c>
      <c r="E50" s="222">
        <f t="shared" si="4"/>
        <v>0</v>
      </c>
      <c r="F50" s="222">
        <f t="shared" si="0"/>
        <v>0</v>
      </c>
      <c r="G50" s="218">
        <f t="shared" si="1"/>
        <v>41</v>
      </c>
      <c r="H50" s="223">
        <f t="shared" si="5"/>
        <v>0</v>
      </c>
      <c r="I50" s="220">
        <f t="shared" si="2"/>
        <v>0</v>
      </c>
    </row>
    <row r="51" spans="2:9" ht="16">
      <c r="B51" s="221">
        <f t="shared" si="3"/>
        <v>42</v>
      </c>
      <c r="C51" s="222">
        <f t="shared" si="6"/>
        <v>0</v>
      </c>
      <c r="D51" s="222">
        <f t="shared" si="7"/>
        <v>0</v>
      </c>
      <c r="E51" s="222">
        <f t="shared" si="4"/>
        <v>0</v>
      </c>
      <c r="F51" s="222">
        <f t="shared" si="0"/>
        <v>0</v>
      </c>
      <c r="G51" s="218">
        <f t="shared" si="1"/>
        <v>42</v>
      </c>
      <c r="H51" s="223">
        <f t="shared" si="5"/>
        <v>0</v>
      </c>
      <c r="I51" s="220">
        <f t="shared" si="2"/>
        <v>0</v>
      </c>
    </row>
    <row r="52" spans="2:9" ht="16">
      <c r="B52" s="221">
        <f t="shared" si="3"/>
        <v>43</v>
      </c>
      <c r="C52" s="222">
        <f t="shared" si="6"/>
        <v>0</v>
      </c>
      <c r="D52" s="222">
        <f t="shared" si="7"/>
        <v>0</v>
      </c>
      <c r="E52" s="222">
        <f t="shared" si="4"/>
        <v>0</v>
      </c>
      <c r="F52" s="222">
        <f t="shared" si="0"/>
        <v>0</v>
      </c>
      <c r="G52" s="218">
        <f t="shared" si="1"/>
        <v>43</v>
      </c>
      <c r="H52" s="223">
        <f t="shared" si="5"/>
        <v>0</v>
      </c>
      <c r="I52" s="220">
        <f t="shared" si="2"/>
        <v>0</v>
      </c>
    </row>
    <row r="53" spans="2:9" ht="16">
      <c r="B53" s="221">
        <f t="shared" si="3"/>
        <v>44</v>
      </c>
      <c r="C53" s="222">
        <f t="shared" si="6"/>
        <v>0</v>
      </c>
      <c r="D53" s="222">
        <f t="shared" si="7"/>
        <v>0</v>
      </c>
      <c r="E53" s="222">
        <f t="shared" si="4"/>
        <v>0</v>
      </c>
      <c r="F53" s="222">
        <f t="shared" si="0"/>
        <v>0</v>
      </c>
      <c r="G53" s="218">
        <f t="shared" si="1"/>
        <v>44</v>
      </c>
      <c r="H53" s="223">
        <f t="shared" si="5"/>
        <v>0</v>
      </c>
      <c r="I53" s="220">
        <f t="shared" si="2"/>
        <v>0</v>
      </c>
    </row>
    <row r="54" spans="2:9" ht="16">
      <c r="B54" s="221">
        <f t="shared" si="3"/>
        <v>45</v>
      </c>
      <c r="C54" s="222">
        <f t="shared" si="6"/>
        <v>0</v>
      </c>
      <c r="D54" s="222">
        <f t="shared" si="7"/>
        <v>0</v>
      </c>
      <c r="E54" s="222">
        <f t="shared" si="4"/>
        <v>0</v>
      </c>
      <c r="F54" s="222">
        <f t="shared" si="0"/>
        <v>0</v>
      </c>
      <c r="G54" s="218">
        <f t="shared" si="1"/>
        <v>45</v>
      </c>
      <c r="H54" s="223">
        <f t="shared" si="5"/>
        <v>0</v>
      </c>
      <c r="I54" s="220">
        <f t="shared" si="2"/>
        <v>0</v>
      </c>
    </row>
    <row r="55" spans="2:9" ht="16">
      <c r="B55" s="221">
        <f t="shared" si="3"/>
        <v>46</v>
      </c>
      <c r="C55" s="222">
        <f t="shared" si="6"/>
        <v>0</v>
      </c>
      <c r="D55" s="222">
        <f t="shared" si="7"/>
        <v>0</v>
      </c>
      <c r="E55" s="222">
        <f t="shared" si="4"/>
        <v>0</v>
      </c>
      <c r="F55" s="222">
        <f t="shared" si="0"/>
        <v>0</v>
      </c>
      <c r="G55" s="218">
        <f t="shared" si="1"/>
        <v>46</v>
      </c>
      <c r="H55" s="223">
        <f t="shared" si="5"/>
        <v>0</v>
      </c>
      <c r="I55" s="220">
        <f t="shared" si="2"/>
        <v>0</v>
      </c>
    </row>
    <row r="56" spans="2:9" ht="16">
      <c r="B56" s="221">
        <f t="shared" si="3"/>
        <v>47</v>
      </c>
      <c r="C56" s="222">
        <f t="shared" si="6"/>
        <v>0</v>
      </c>
      <c r="D56" s="222">
        <f t="shared" si="7"/>
        <v>0</v>
      </c>
      <c r="E56" s="222">
        <f t="shared" si="4"/>
        <v>0</v>
      </c>
      <c r="F56" s="222">
        <f t="shared" si="0"/>
        <v>0</v>
      </c>
      <c r="G56" s="218">
        <f t="shared" si="1"/>
        <v>47</v>
      </c>
      <c r="H56" s="223">
        <f t="shared" si="5"/>
        <v>0</v>
      </c>
      <c r="I56" s="220">
        <f t="shared" si="2"/>
        <v>0</v>
      </c>
    </row>
    <row r="57" spans="2:9" ht="16">
      <c r="B57" s="221">
        <f t="shared" si="3"/>
        <v>48</v>
      </c>
      <c r="C57" s="222">
        <f t="shared" si="6"/>
        <v>0</v>
      </c>
      <c r="D57" s="222">
        <f t="shared" si="7"/>
        <v>0</v>
      </c>
      <c r="E57" s="222">
        <f t="shared" si="4"/>
        <v>0</v>
      </c>
      <c r="F57" s="222">
        <f t="shared" si="0"/>
        <v>0</v>
      </c>
      <c r="G57" s="218">
        <f t="shared" si="1"/>
        <v>48</v>
      </c>
      <c r="H57" s="223">
        <f t="shared" si="5"/>
        <v>0</v>
      </c>
      <c r="I57" s="220">
        <f t="shared" si="2"/>
        <v>0</v>
      </c>
    </row>
    <row r="58" spans="2:9" ht="16">
      <c r="B58" s="221">
        <f t="shared" si="3"/>
        <v>49</v>
      </c>
      <c r="C58" s="222">
        <f t="shared" si="6"/>
        <v>0</v>
      </c>
      <c r="D58" s="222">
        <f t="shared" si="7"/>
        <v>0</v>
      </c>
      <c r="E58" s="222">
        <f t="shared" si="4"/>
        <v>0</v>
      </c>
      <c r="F58" s="222">
        <f t="shared" si="0"/>
        <v>0</v>
      </c>
      <c r="G58" s="218">
        <f t="shared" si="1"/>
        <v>49</v>
      </c>
      <c r="H58" s="223">
        <f t="shared" si="5"/>
        <v>0</v>
      </c>
      <c r="I58" s="220">
        <f t="shared" si="2"/>
        <v>0</v>
      </c>
    </row>
    <row r="59" spans="2:9" ht="16">
      <c r="B59" s="221">
        <f t="shared" si="3"/>
        <v>50</v>
      </c>
      <c r="C59" s="222">
        <f t="shared" si="6"/>
        <v>0</v>
      </c>
      <c r="D59" s="222">
        <f t="shared" si="7"/>
        <v>0</v>
      </c>
      <c r="E59" s="222">
        <f t="shared" si="4"/>
        <v>0</v>
      </c>
      <c r="F59" s="222">
        <f t="shared" si="0"/>
        <v>0</v>
      </c>
      <c r="G59" s="218">
        <f t="shared" si="1"/>
        <v>50</v>
      </c>
      <c r="H59" s="223">
        <f t="shared" si="5"/>
        <v>0</v>
      </c>
      <c r="I59" s="220">
        <f t="shared" si="2"/>
        <v>0</v>
      </c>
    </row>
  </sheetData>
  <mergeCells count="1">
    <mergeCell ref="U24:AA25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A926-08D8-CE4B-B822-E13FC2A79988}">
  <dimension ref="B2:Y59"/>
  <sheetViews>
    <sheetView zoomScale="133" zoomScaleNormal="80" workbookViewId="0">
      <selection activeCell="T31" sqref="T31"/>
    </sheetView>
  </sheetViews>
  <sheetFormatPr baseColWidth="10" defaultColWidth="9.1640625" defaultRowHeight="13"/>
  <cols>
    <col min="1" max="1" width="3.33203125" style="5" customWidth="1"/>
    <col min="2" max="2" width="7.6640625" style="5" customWidth="1"/>
    <col min="3" max="3" width="19.5" style="5" bestFit="1" customWidth="1"/>
    <col min="4" max="4" width="10.33203125" style="5" bestFit="1" customWidth="1"/>
    <col min="5" max="5" width="20.33203125" style="5" customWidth="1"/>
    <col min="6" max="6" width="12" style="5" customWidth="1"/>
    <col min="7" max="7" width="9.1640625" style="5"/>
    <col min="8" max="8" width="12.5" style="5" customWidth="1"/>
    <col min="9" max="9" width="15.83203125" style="5" customWidth="1"/>
    <col min="10" max="10" width="3.1640625" style="5" customWidth="1"/>
    <col min="11" max="11" width="13.33203125" style="5" bestFit="1" customWidth="1"/>
    <col min="12" max="13" width="9.1640625" style="5"/>
    <col min="14" max="14" width="16.6640625" style="5" customWidth="1"/>
    <col min="15" max="15" width="9.1640625" style="5"/>
    <col min="16" max="16" width="19.33203125" style="5" bestFit="1" customWidth="1"/>
    <col min="17" max="17" width="9.1640625" style="5"/>
    <col min="18" max="18" width="15" style="5" bestFit="1" customWidth="1"/>
    <col min="19" max="16384" width="9.1640625" style="5"/>
  </cols>
  <sheetData>
    <row r="2" spans="2:19" ht="13.5" customHeight="1" thickBot="1">
      <c r="C2" s="151" t="s">
        <v>97</v>
      </c>
      <c r="D2" s="184">
        <f>D4/0.8</f>
        <v>114669.64031155339</v>
      </c>
      <c r="E2" s="185">
        <f>D2/12</f>
        <v>9555.8033592961165</v>
      </c>
      <c r="F2" s="186" t="s">
        <v>98</v>
      </c>
      <c r="K2" s="239">
        <f>E2*12</f>
        <v>114669.6403115534</v>
      </c>
    </row>
    <row r="3" spans="2:19" ht="14" thickBot="1">
      <c r="B3" s="187" t="s">
        <v>99</v>
      </c>
      <c r="C3" s="188"/>
      <c r="D3" s="189"/>
      <c r="E3" s="189"/>
      <c r="F3" s="190">
        <v>2025</v>
      </c>
      <c r="G3" s="191" t="s">
        <v>100</v>
      </c>
      <c r="H3" s="192"/>
      <c r="I3" s="193"/>
    </row>
    <row r="4" spans="2:19" ht="17" thickBot="1">
      <c r="B4" s="10"/>
      <c r="C4" s="193" t="s">
        <v>101</v>
      </c>
      <c r="D4" s="194">
        <v>91735.712249242715</v>
      </c>
      <c r="E4" s="195" t="s">
        <v>102</v>
      </c>
      <c r="F4" s="194">
        <v>0</v>
      </c>
      <c r="G4" s="191" t="s">
        <v>103</v>
      </c>
      <c r="H4" s="192"/>
      <c r="I4" s="193"/>
    </row>
    <row r="5" spans="2:19" ht="17" thickBot="1">
      <c r="B5" s="16"/>
      <c r="C5" s="193" t="s">
        <v>104</v>
      </c>
      <c r="D5" s="196">
        <v>1.4999999999999999E-2</v>
      </c>
      <c r="E5" s="195" t="s">
        <v>105</v>
      </c>
      <c r="F5" s="194">
        <v>15</v>
      </c>
      <c r="H5" s="43" t="s">
        <v>104</v>
      </c>
      <c r="I5" s="197">
        <v>1.4999999999999999E-2</v>
      </c>
      <c r="M5" s="5">
        <v>1</v>
      </c>
      <c r="N5" s="5" t="s">
        <v>106</v>
      </c>
    </row>
    <row r="6" spans="2:19" ht="14" thickBot="1">
      <c r="B6" s="16"/>
      <c r="C6" s="198" t="s">
        <v>107</v>
      </c>
      <c r="D6" s="196">
        <v>0.05</v>
      </c>
      <c r="E6" s="199">
        <f>(1+$D$6/2)^2-1</f>
        <v>5.062499999999992E-2</v>
      </c>
      <c r="F6" s="200"/>
      <c r="H6" s="195" t="s">
        <v>107</v>
      </c>
      <c r="I6" s="201">
        <v>0.03</v>
      </c>
      <c r="K6" s="5" t="s">
        <v>108</v>
      </c>
      <c r="M6" s="5">
        <v>2</v>
      </c>
      <c r="N6" s="5" t="s">
        <v>109</v>
      </c>
    </row>
    <row r="7" spans="2:19" ht="17" thickBot="1">
      <c r="B7" s="16"/>
      <c r="C7" s="193" t="s">
        <v>110</v>
      </c>
      <c r="D7" s="196">
        <v>0.153</v>
      </c>
      <c r="E7" s="34" t="s">
        <v>111</v>
      </c>
      <c r="F7" s="202">
        <f>FV($D$6*(1-$D$7),$F$5,0,-$F$4)</f>
        <v>0</v>
      </c>
      <c r="G7" s="182"/>
      <c r="H7" s="195" t="s">
        <v>110</v>
      </c>
      <c r="I7" s="196">
        <v>0.153</v>
      </c>
      <c r="K7" s="203">
        <f>460000*0.6+6000000/2</f>
        <v>3276000</v>
      </c>
      <c r="M7" s="5">
        <v>3</v>
      </c>
      <c r="N7" s="5" t="s">
        <v>112</v>
      </c>
    </row>
    <row r="8" spans="2:19" ht="17" thickBot="1">
      <c r="B8" s="43"/>
      <c r="D8" s="204"/>
      <c r="E8" s="40" t="s">
        <v>113</v>
      </c>
      <c r="F8" s="202">
        <f>PV($D$5,$F$5,0,-$F$7)</f>
        <v>0</v>
      </c>
      <c r="G8" s="205" t="s">
        <v>114</v>
      </c>
      <c r="H8" s="206" t="s">
        <v>115</v>
      </c>
      <c r="I8" s="206" t="s">
        <v>116</v>
      </c>
      <c r="K8" s="4">
        <f>K7/20</f>
        <v>163800</v>
      </c>
      <c r="L8" s="5" t="s">
        <v>117</v>
      </c>
    </row>
    <row r="9" spans="2:19" ht="14" thickBot="1">
      <c r="B9" s="207" t="s">
        <v>118</v>
      </c>
      <c r="C9" s="206" t="s">
        <v>119</v>
      </c>
      <c r="D9" s="208" t="s">
        <v>120</v>
      </c>
      <c r="E9" s="209" t="s">
        <v>121</v>
      </c>
      <c r="F9" s="206" t="s">
        <v>122</v>
      </c>
      <c r="G9" s="210">
        <v>0</v>
      </c>
      <c r="H9" s="211"/>
      <c r="I9" s="212">
        <f>VLOOKUP(F5,B3:F59,5,FALSE)+F8</f>
        <v>1678643.2957826396</v>
      </c>
      <c r="J9" s="151"/>
      <c r="K9" s="213">
        <f>K8/0.63</f>
        <v>260000</v>
      </c>
      <c r="L9" s="5" t="s">
        <v>123</v>
      </c>
    </row>
    <row r="10" spans="2:19" ht="16">
      <c r="B10" s="214">
        <v>1</v>
      </c>
      <c r="C10" s="215">
        <f>D4</f>
        <v>91735.712249242715</v>
      </c>
      <c r="D10" s="216">
        <f>C10/2*(1-$D$7)*$D$6</f>
        <v>1942.5037068777144</v>
      </c>
      <c r="E10" s="217">
        <f>C10+D10</f>
        <v>93678.215956120432</v>
      </c>
      <c r="F10" s="217">
        <f t="shared" ref="F10:F59" si="0">PV($D$5,B10,0,-E10)</f>
        <v>92293.808823763975</v>
      </c>
      <c r="G10" s="218">
        <f t="shared" ref="G10:G59" si="1">G9+1</f>
        <v>1</v>
      </c>
      <c r="H10" s="219">
        <v>93474</v>
      </c>
      <c r="I10" s="220">
        <f t="shared" ref="I10:I59" si="2">(I9-H10/2)*$I$6*(1-$I$7)+I9-H10</f>
        <v>1626636.0347584765</v>
      </c>
      <c r="J10" s="151"/>
      <c r="K10" s="151"/>
      <c r="L10" s="151"/>
    </row>
    <row r="11" spans="2:19" ht="16">
      <c r="B11" s="221">
        <f t="shared" ref="B11:B59" si="3">B10+1</f>
        <v>2</v>
      </c>
      <c r="C11" s="217">
        <f>D4*(1+$D$5)</f>
        <v>93111.74793298135</v>
      </c>
      <c r="D11" s="222">
        <f>(E10+C11/2)*(1-$D$7)*$D$6</f>
        <v>5938.9137082225807</v>
      </c>
      <c r="E11" s="222">
        <f t="shared" ref="E11:E59" si="4">E10+C11+D11</f>
        <v>192728.87759732438</v>
      </c>
      <c r="F11" s="222">
        <f t="shared" si="0"/>
        <v>187074.54934341958</v>
      </c>
      <c r="G11" s="218">
        <f t="shared" si="1"/>
        <v>2</v>
      </c>
      <c r="H11" s="223">
        <f t="shared" ref="H11:H59" si="5">H10*(1+$I$5)</f>
        <v>94876.109999999986</v>
      </c>
      <c r="I11" s="220">
        <f t="shared" si="2"/>
        <v>1571887.3454241394</v>
      </c>
      <c r="J11" s="151" t="s">
        <v>124</v>
      </c>
      <c r="K11" s="151"/>
      <c r="L11" s="151"/>
    </row>
    <row r="12" spans="2:19" ht="16">
      <c r="B12" s="221">
        <f t="shared" si="3"/>
        <v>3</v>
      </c>
      <c r="C12" s="222">
        <f t="shared" ref="C12:C59" si="6">C11*(1+$D$5)</f>
        <v>94508.424151976054</v>
      </c>
      <c r="D12" s="222">
        <f t="shared" ref="D12:D59" si="7">(E11+C12/2)*(1-$D$7)*$D$6</f>
        <v>10163.283847664781</v>
      </c>
      <c r="E12" s="222">
        <f t="shared" si="4"/>
        <v>297400.58559696522</v>
      </c>
      <c r="F12" s="222">
        <f t="shared" si="0"/>
        <v>284409.23395491019</v>
      </c>
      <c r="G12" s="218">
        <f t="shared" si="1"/>
        <v>3</v>
      </c>
      <c r="H12" s="223">
        <f t="shared" si="5"/>
        <v>96299.251649999977</v>
      </c>
      <c r="I12" s="220">
        <f t="shared" si="2"/>
        <v>1514306.2692291536</v>
      </c>
      <c r="O12" s="245" t="s">
        <v>125</v>
      </c>
      <c r="P12" s="245"/>
      <c r="Q12" s="245" t="s">
        <v>98</v>
      </c>
      <c r="R12" s="245" t="s">
        <v>126</v>
      </c>
    </row>
    <row r="13" spans="2:19" ht="16">
      <c r="B13" s="221">
        <f t="shared" si="3"/>
        <v>4</v>
      </c>
      <c r="C13" s="222">
        <f t="shared" si="6"/>
        <v>95926.050514255679</v>
      </c>
      <c r="D13" s="222">
        <f t="shared" si="7"/>
        <v>14626.148919670841</v>
      </c>
      <c r="E13" s="222">
        <f t="shared" si="4"/>
        <v>407952.78503089177</v>
      </c>
      <c r="F13" s="222">
        <f t="shared" si="0"/>
        <v>384366.68075765634</v>
      </c>
      <c r="G13" s="218">
        <f t="shared" si="1"/>
        <v>4</v>
      </c>
      <c r="H13" s="223">
        <f t="shared" si="5"/>
        <v>97743.740424749965</v>
      </c>
      <c r="I13" s="220">
        <f t="shared" si="2"/>
        <v>1453799.21688342</v>
      </c>
      <c r="J13" s="151" t="s">
        <v>127</v>
      </c>
      <c r="O13" s="245"/>
      <c r="P13" s="246" t="s">
        <v>128</v>
      </c>
      <c r="Q13" s="247">
        <v>7198</v>
      </c>
      <c r="R13" s="247">
        <f>Q13*12</f>
        <v>86376</v>
      </c>
    </row>
    <row r="14" spans="2:19" ht="16">
      <c r="B14" s="221">
        <f t="shared" si="3"/>
        <v>5</v>
      </c>
      <c r="C14" s="222">
        <f t="shared" si="6"/>
        <v>97364.94127196951</v>
      </c>
      <c r="D14" s="222">
        <f t="shared" si="7"/>
        <v>19338.50307749222</v>
      </c>
      <c r="E14" s="222">
        <f t="shared" si="4"/>
        <v>524656.22938035347</v>
      </c>
      <c r="F14" s="222">
        <f t="shared" si="0"/>
        <v>487017.56221070298</v>
      </c>
      <c r="G14" s="218">
        <f t="shared" si="1"/>
        <v>5</v>
      </c>
      <c r="H14" s="223">
        <f t="shared" si="5"/>
        <v>99209.896531121209</v>
      </c>
      <c r="I14" s="220">
        <f t="shared" si="2"/>
        <v>1390269.8967178788</v>
      </c>
      <c r="J14" s="151" t="s">
        <v>129</v>
      </c>
      <c r="O14" s="245"/>
      <c r="P14" s="246" t="s">
        <v>130</v>
      </c>
      <c r="Q14" s="247">
        <v>8329</v>
      </c>
      <c r="R14" s="247">
        <f>Q14*12</f>
        <v>99948</v>
      </c>
    </row>
    <row r="15" spans="2:19" ht="16">
      <c r="B15" s="221">
        <f t="shared" si="3"/>
        <v>6</v>
      </c>
      <c r="C15" s="222">
        <f t="shared" si="6"/>
        <v>98825.415391049042</v>
      </c>
      <c r="D15" s="222">
        <f t="shared" si="7"/>
        <v>24311.819485163433</v>
      </c>
      <c r="E15" s="222">
        <f t="shared" si="4"/>
        <v>647793.4642565659</v>
      </c>
      <c r="F15" s="222">
        <f t="shared" si="0"/>
        <v>592434.45509994763</v>
      </c>
      <c r="G15" s="218">
        <f t="shared" si="1"/>
        <v>6</v>
      </c>
      <c r="H15" s="223">
        <f t="shared" si="5"/>
        <v>100698.04497908802</v>
      </c>
      <c r="I15" s="220">
        <f t="shared" si="2"/>
        <v>1323619.2411529326</v>
      </c>
      <c r="J15" s="151"/>
      <c r="O15" s="245"/>
      <c r="P15" s="246" t="s">
        <v>131</v>
      </c>
      <c r="Q15" s="247">
        <v>4262</v>
      </c>
      <c r="R15" s="247">
        <f>Q15*12</f>
        <v>51144</v>
      </c>
      <c r="S15" s="5" t="s">
        <v>132</v>
      </c>
    </row>
    <row r="16" spans="2:19" ht="16">
      <c r="B16" s="221">
        <f t="shared" si="3"/>
        <v>7</v>
      </c>
      <c r="C16" s="222">
        <f t="shared" si="6"/>
        <v>100307.79662191476</v>
      </c>
      <c r="D16" s="222">
        <f t="shared" si="7"/>
        <v>29558.070804734612</v>
      </c>
      <c r="E16" s="222">
        <f t="shared" si="4"/>
        <v>777659.33168321522</v>
      </c>
      <c r="F16" s="222">
        <f t="shared" si="0"/>
        <v>700691.8918517743</v>
      </c>
      <c r="G16" s="218">
        <f t="shared" si="1"/>
        <v>7</v>
      </c>
      <c r="H16" s="223">
        <f t="shared" si="5"/>
        <v>102208.51565377433</v>
      </c>
      <c r="I16" s="220">
        <f t="shared" si="2"/>
        <v>1253745.331225473</v>
      </c>
      <c r="Q16" s="4"/>
      <c r="R16" s="4"/>
    </row>
    <row r="17" spans="2:25" ht="16">
      <c r="B17" s="221">
        <f t="shared" si="3"/>
        <v>8</v>
      </c>
      <c r="C17" s="222">
        <f t="shared" si="6"/>
        <v>101812.41357124348</v>
      </c>
      <c r="D17" s="222">
        <f>(E16+C17/2)*(1-$D$7)*$D$6</f>
        <v>35089.750554155245</v>
      </c>
      <c r="E17" s="222">
        <f t="shared" si="4"/>
        <v>914561.49580861395</v>
      </c>
      <c r="F17" s="222">
        <f t="shared" si="0"/>
        <v>811866.41322937678</v>
      </c>
      <c r="G17" s="218">
        <f t="shared" si="1"/>
        <v>8</v>
      </c>
      <c r="H17" s="223">
        <f t="shared" si="5"/>
        <v>103741.64338858094</v>
      </c>
      <c r="I17" s="220">
        <f t="shared" si="2"/>
        <v>1180543.3191240793</v>
      </c>
      <c r="J17" s="151"/>
      <c r="P17" s="5" t="s">
        <v>133</v>
      </c>
      <c r="Q17" s="4" t="s">
        <v>98</v>
      </c>
      <c r="R17" s="4" t="s">
        <v>126</v>
      </c>
    </row>
    <row r="18" spans="2:25" ht="16">
      <c r="B18" s="221">
        <f t="shared" si="3"/>
        <v>9</v>
      </c>
      <c r="C18" s="222">
        <f t="shared" si="6"/>
        <v>103339.59977481212</v>
      </c>
      <c r="D18" s="222">
        <f>(E17+C18/2)*(1-$D$7)*$D$6</f>
        <v>40919.895372726452</v>
      </c>
      <c r="E18" s="222">
        <f t="shared" si="4"/>
        <v>1058820.9909561526</v>
      </c>
      <c r="F18" s="222">
        <f t="shared" si="0"/>
        <v>926036.62244902609</v>
      </c>
      <c r="G18" s="218">
        <f t="shared" si="1"/>
        <v>9</v>
      </c>
      <c r="H18" s="223">
        <f t="shared" si="5"/>
        <v>105297.76803940964</v>
      </c>
      <c r="I18" s="220">
        <f t="shared" si="2"/>
        <v>1103905.348680672</v>
      </c>
      <c r="J18" s="151"/>
      <c r="K18" s="151"/>
      <c r="L18" s="151"/>
      <c r="M18" s="151"/>
      <c r="P18" s="246" t="s">
        <v>134</v>
      </c>
      <c r="Q18" s="247">
        <f>R18/12</f>
        <v>2343.25</v>
      </c>
      <c r="R18" s="247">
        <v>28119</v>
      </c>
    </row>
    <row r="19" spans="2:25" ht="17" thickBot="1">
      <c r="B19" s="221">
        <f t="shared" si="3"/>
        <v>10</v>
      </c>
      <c r="C19" s="222">
        <f t="shared" si="6"/>
        <v>104889.69377143429</v>
      </c>
      <c r="D19" s="222">
        <f t="shared" si="7"/>
        <v>47062.10823260319</v>
      </c>
      <c r="E19" s="222">
        <f t="shared" si="4"/>
        <v>1210772.79296019</v>
      </c>
      <c r="F19" s="222">
        <f t="shared" si="0"/>
        <v>1043283.2407545447</v>
      </c>
      <c r="G19" s="218">
        <f t="shared" si="1"/>
        <v>10</v>
      </c>
      <c r="H19" s="223">
        <f t="shared" si="5"/>
        <v>106877.23456000077</v>
      </c>
      <c r="I19" s="220">
        <f t="shared" si="2"/>
        <v>1023720.4737655623</v>
      </c>
      <c r="J19" s="151"/>
      <c r="K19" s="151"/>
      <c r="L19" s="151"/>
      <c r="M19" s="151"/>
    </row>
    <row r="20" spans="2:25" ht="16">
      <c r="B20" s="221">
        <f t="shared" si="3"/>
        <v>11</v>
      </c>
      <c r="C20" s="222">
        <f t="shared" si="6"/>
        <v>106463.0391780058</v>
      </c>
      <c r="D20" s="222">
        <f t="shared" si="7"/>
        <v>53530.582636458326</v>
      </c>
      <c r="E20" s="222">
        <f t="shared" si="4"/>
        <v>1370766.4147746542</v>
      </c>
      <c r="F20" s="222">
        <f t="shared" si="0"/>
        <v>1163689.1644892811</v>
      </c>
      <c r="G20" s="218">
        <f t="shared" si="1"/>
        <v>11</v>
      </c>
      <c r="H20" s="223">
        <f t="shared" si="5"/>
        <v>108480.39307840077</v>
      </c>
      <c r="I20" s="220">
        <f t="shared" si="2"/>
        <v>939874.57453148335</v>
      </c>
      <c r="J20" s="151"/>
      <c r="K20" s="151"/>
      <c r="L20" s="151"/>
      <c r="M20" s="151"/>
      <c r="P20" s="57" t="s">
        <v>135</v>
      </c>
      <c r="Q20" s="189"/>
      <c r="R20" s="224">
        <f>80000*12</f>
        <v>960000</v>
      </c>
    </row>
    <row r="21" spans="2:25" ht="17" thickBot="1">
      <c r="B21" s="221">
        <f t="shared" si="3"/>
        <v>12</v>
      </c>
      <c r="C21" s="222">
        <f t="shared" si="6"/>
        <v>108059.98476567588</v>
      </c>
      <c r="D21" s="222">
        <f t="shared" si="7"/>
        <v>60340.127843119786</v>
      </c>
      <c r="E21" s="222">
        <f t="shared" si="4"/>
        <v>1539166.52738345</v>
      </c>
      <c r="F21" s="222">
        <f t="shared" si="0"/>
        <v>1287339.5237059339</v>
      </c>
      <c r="G21" s="218">
        <f t="shared" si="1"/>
        <v>12</v>
      </c>
      <c r="H21" s="223">
        <f t="shared" si="5"/>
        <v>110107.59897457677</v>
      </c>
      <c r="I21" s="220">
        <f t="shared" si="2"/>
        <v>852250.27145077952</v>
      </c>
      <c r="J21" s="151"/>
      <c r="K21" s="151"/>
      <c r="L21" s="151"/>
      <c r="M21" s="151"/>
      <c r="P21" s="63" t="s">
        <v>136</v>
      </c>
      <c r="Q21" s="225">
        <v>0.8</v>
      </c>
      <c r="R21" s="226">
        <f>R20*Q21</f>
        <v>768000</v>
      </c>
    </row>
    <row r="22" spans="2:25" ht="16">
      <c r="B22" s="221">
        <f t="shared" si="3"/>
        <v>13</v>
      </c>
      <c r="C22" s="222">
        <f t="shared" si="6"/>
        <v>109680.88453716101</v>
      </c>
      <c r="D22" s="222">
        <f t="shared" si="7"/>
        <v>67506.195164763485</v>
      </c>
      <c r="E22" s="222">
        <f t="shared" si="4"/>
        <v>1716353.6070853746</v>
      </c>
      <c r="F22" s="222">
        <f t="shared" si="0"/>
        <v>1414321.7423556661</v>
      </c>
      <c r="G22" s="218">
        <f t="shared" si="1"/>
        <v>13</v>
      </c>
      <c r="H22" s="223">
        <f t="shared" si="5"/>
        <v>111759.21295919541</v>
      </c>
      <c r="I22" s="220">
        <f t="shared" si="2"/>
        <v>760726.8370885019</v>
      </c>
      <c r="J22" s="151"/>
      <c r="K22" s="151"/>
      <c r="L22" s="151"/>
      <c r="M22" s="151"/>
      <c r="P22" s="48" t="s">
        <v>137</v>
      </c>
      <c r="R22" s="227">
        <f>R13</f>
        <v>86376</v>
      </c>
      <c r="S22" s="5" t="s">
        <v>138</v>
      </c>
    </row>
    <row r="23" spans="2:25" ht="16">
      <c r="B23" s="221">
        <f t="shared" si="3"/>
        <v>14</v>
      </c>
      <c r="C23" s="222">
        <f t="shared" si="6"/>
        <v>111326.09780521841</v>
      </c>
      <c r="D23" s="222">
        <f t="shared" si="7"/>
        <v>75044.905381091114</v>
      </c>
      <c r="E23" s="222">
        <f t="shared" si="4"/>
        <v>1902724.6102716841</v>
      </c>
      <c r="F23" s="222">
        <f t="shared" si="0"/>
        <v>1544725.6000990635</v>
      </c>
      <c r="G23" s="218">
        <f t="shared" si="1"/>
        <v>14</v>
      </c>
      <c r="H23" s="223">
        <f t="shared" si="5"/>
        <v>113435.60115358334</v>
      </c>
      <c r="I23" s="220">
        <f t="shared" si="2"/>
        <v>665180.10555268102</v>
      </c>
      <c r="J23" s="151"/>
      <c r="K23" s="151"/>
      <c r="L23" s="151"/>
      <c r="M23" s="151"/>
      <c r="P23" s="48" t="s">
        <v>139</v>
      </c>
      <c r="R23" s="227">
        <v>17900</v>
      </c>
      <c r="S23" s="5" t="str">
        <f>S22</f>
        <v>juster så det passer</v>
      </c>
    </row>
    <row r="24" spans="2:25" ht="16">
      <c r="B24" s="221">
        <f t="shared" si="3"/>
        <v>15</v>
      </c>
      <c r="C24" s="222">
        <f t="shared" si="6"/>
        <v>112995.98927229668</v>
      </c>
      <c r="D24" s="222">
        <f t="shared" si="7"/>
        <v>82973.077317846706</v>
      </c>
      <c r="E24" s="222">
        <f t="shared" si="4"/>
        <v>2098693.6768618273</v>
      </c>
      <c r="F24" s="222">
        <f t="shared" si="0"/>
        <v>1678643.2957826396</v>
      </c>
      <c r="G24" s="218">
        <f t="shared" si="1"/>
        <v>15</v>
      </c>
      <c r="H24" s="223">
        <f t="shared" si="5"/>
        <v>115137.13517088708</v>
      </c>
      <c r="I24" s="220">
        <f t="shared" si="2"/>
        <v>565482.37956154137</v>
      </c>
      <c r="J24" s="151"/>
      <c r="K24" s="151"/>
      <c r="L24" s="151"/>
      <c r="M24" s="151"/>
      <c r="P24" s="48" t="s">
        <v>140</v>
      </c>
      <c r="R24" s="227">
        <f>26500/2+27000/2+383000/2+92000+H10</f>
        <v>403724</v>
      </c>
      <c r="S24" s="5" t="s">
        <v>141</v>
      </c>
      <c r="W24" s="5" t="s">
        <v>76</v>
      </c>
      <c r="Y24" s="5" t="s">
        <v>76</v>
      </c>
    </row>
    <row r="25" spans="2:25" ht="17" thickBot="1">
      <c r="B25" s="221">
        <f t="shared" si="3"/>
        <v>16</v>
      </c>
      <c r="C25" s="222">
        <f t="shared" si="6"/>
        <v>114690.92911138112</v>
      </c>
      <c r="D25" s="222">
        <f t="shared" si="7"/>
        <v>91308.257639031886</v>
      </c>
      <c r="E25" s="222">
        <f t="shared" si="4"/>
        <v>2304692.8636122402</v>
      </c>
      <c r="F25" s="222">
        <f t="shared" si="0"/>
        <v>1816169.5126257685</v>
      </c>
      <c r="G25" s="218">
        <f t="shared" si="1"/>
        <v>16</v>
      </c>
      <c r="H25" s="223">
        <f t="shared" si="5"/>
        <v>116864.19219845037</v>
      </c>
      <c r="I25" s="220">
        <f t="shared" si="2"/>
        <v>461502.33506586839</v>
      </c>
      <c r="P25" s="48" t="s">
        <v>143</v>
      </c>
      <c r="R25" s="228">
        <f>K9</f>
        <v>260000</v>
      </c>
      <c r="S25" s="5" t="s">
        <v>144</v>
      </c>
    </row>
    <row r="26" spans="2:25" ht="17" thickBot="1">
      <c r="B26" s="221">
        <f t="shared" si="3"/>
        <v>17</v>
      </c>
      <c r="C26" s="222">
        <f t="shared" si="6"/>
        <v>116411.29304805183</v>
      </c>
      <c r="D26" s="222">
        <f t="shared" si="7"/>
        <v>100068.75190427087</v>
      </c>
      <c r="E26" s="222">
        <f t="shared" si="4"/>
        <v>2521172.9085645629</v>
      </c>
      <c r="F26" s="222">
        <f t="shared" si="0"/>
        <v>1957401.4851641287</v>
      </c>
      <c r="G26" s="218">
        <f t="shared" si="1"/>
        <v>17</v>
      </c>
      <c r="H26" s="223">
        <f t="shared" si="5"/>
        <v>118617.15508142712</v>
      </c>
      <c r="I26" s="220">
        <f t="shared" si="2"/>
        <v>353104.92336315545</v>
      </c>
      <c r="P26" s="229" t="s">
        <v>145</v>
      </c>
      <c r="Q26" s="230"/>
      <c r="R26" s="231">
        <f>R21-R22-R23-R24-R25</f>
        <v>0</v>
      </c>
    </row>
    <row r="27" spans="2:25" ht="17" thickBot="1">
      <c r="B27" s="221">
        <f t="shared" si="3"/>
        <v>18</v>
      </c>
      <c r="C27" s="222">
        <f t="shared" si="6"/>
        <v>118157.46244377259</v>
      </c>
      <c r="D27" s="222">
        <f t="shared" si="7"/>
        <v>109273.65694495612</v>
      </c>
      <c r="E27" s="222">
        <f t="shared" si="4"/>
        <v>2748604.0279532918</v>
      </c>
      <c r="F27" s="222">
        <f t="shared" si="0"/>
        <v>2102439.0679969955</v>
      </c>
      <c r="G27" s="218">
        <f t="shared" si="1"/>
        <v>18</v>
      </c>
      <c r="H27" s="223">
        <f t="shared" si="5"/>
        <v>120396.41240764852</v>
      </c>
      <c r="I27" s="220">
        <f t="shared" si="2"/>
        <v>240151.27063852554</v>
      </c>
      <c r="J27" s="151"/>
    </row>
    <row r="28" spans="2:25" ht="16">
      <c r="B28" s="221">
        <f t="shared" si="3"/>
        <v>19</v>
      </c>
      <c r="C28" s="222">
        <f t="shared" si="6"/>
        <v>119929.82438042917</v>
      </c>
      <c r="D28" s="222">
        <f t="shared" si="7"/>
        <v>118942.89461507752</v>
      </c>
      <c r="E28" s="222">
        <f t="shared" si="4"/>
        <v>2987476.7469487982</v>
      </c>
      <c r="F28" s="222">
        <f t="shared" si="0"/>
        <v>2251384.806386984</v>
      </c>
      <c r="G28" s="218">
        <f t="shared" si="1"/>
        <v>19</v>
      </c>
      <c r="H28" s="223">
        <f t="shared" si="5"/>
        <v>122202.35859376323</v>
      </c>
      <c r="I28" s="220">
        <f t="shared" si="2"/>
        <v>122498.5748657535</v>
      </c>
      <c r="J28" s="151"/>
      <c r="P28" s="232" t="s">
        <v>146</v>
      </c>
      <c r="Q28" s="233"/>
      <c r="R28" s="234">
        <f>R22+R23+R24+R25</f>
        <v>768000</v>
      </c>
    </row>
    <row r="29" spans="2:25" ht="17" thickBot="1">
      <c r="B29" s="221">
        <f t="shared" si="3"/>
        <v>20</v>
      </c>
      <c r="C29" s="222">
        <f t="shared" si="6"/>
        <v>121728.77174613559</v>
      </c>
      <c r="D29" s="222">
        <f t="shared" si="7"/>
        <v>129097.24697500603</v>
      </c>
      <c r="E29" s="222">
        <f t="shared" si="4"/>
        <v>3238302.76566994</v>
      </c>
      <c r="F29" s="222">
        <f t="shared" si="0"/>
        <v>2404344.0087621617</v>
      </c>
      <c r="G29" s="218">
        <f t="shared" si="1"/>
        <v>20</v>
      </c>
      <c r="H29" s="223">
        <f t="shared" si="5"/>
        <v>124035.39397266967</v>
      </c>
      <c r="I29" s="235">
        <f t="shared" si="2"/>
        <v>-1.4551915228366852E-10</v>
      </c>
      <c r="J29" s="151"/>
      <c r="P29" s="236" t="s">
        <v>147</v>
      </c>
      <c r="Q29" s="237"/>
      <c r="R29" s="238">
        <f>R28/R20</f>
        <v>0.8</v>
      </c>
    </row>
    <row r="30" spans="2:25" ht="16">
      <c r="B30" s="221">
        <f t="shared" si="3"/>
        <v>21</v>
      </c>
      <c r="C30" s="222">
        <f t="shared" si="6"/>
        <v>123554.70332232761</v>
      </c>
      <c r="D30" s="222">
        <f t="shared" si="7"/>
        <v>139758.39296897224</v>
      </c>
      <c r="E30" s="222">
        <f t="shared" si="4"/>
        <v>3501615.8619612399</v>
      </c>
      <c r="F30" s="222">
        <f t="shared" si="0"/>
        <v>2561424.8211717834</v>
      </c>
      <c r="G30" s="218">
        <f t="shared" si="1"/>
        <v>21</v>
      </c>
      <c r="H30" s="223">
        <f t="shared" si="5"/>
        <v>125895.9248822597</v>
      </c>
      <c r="I30" s="220">
        <f t="shared" si="2"/>
        <v>-127495.43260788896</v>
      </c>
    </row>
    <row r="31" spans="2:25" ht="16">
      <c r="B31" s="221">
        <f t="shared" si="3"/>
        <v>22</v>
      </c>
      <c r="C31" s="222">
        <f t="shared" si="6"/>
        <v>125408.02387216251</v>
      </c>
      <c r="D31" s="222">
        <f t="shared" si="7"/>
        <v>150948.94665955156</v>
      </c>
      <c r="E31" s="222">
        <f t="shared" si="4"/>
        <v>3777972.8324929541</v>
      </c>
      <c r="F31" s="222">
        <f t="shared" si="0"/>
        <v>2722738.303748305</v>
      </c>
      <c r="G31" s="218">
        <f t="shared" si="1"/>
        <v>22</v>
      </c>
      <c r="H31" s="223">
        <f t="shared" si="5"/>
        <v>127784.36375549358</v>
      </c>
      <c r="I31" s="220">
        <f t="shared" si="2"/>
        <v>-260142.95564746257</v>
      </c>
      <c r="J31" s="151"/>
      <c r="P31" s="240" t="s">
        <v>151</v>
      </c>
      <c r="Q31" s="241"/>
      <c r="R31" s="242">
        <f>E2</f>
        <v>9555.8033592961165</v>
      </c>
      <c r="S31" s="241" t="s">
        <v>152</v>
      </c>
    </row>
    <row r="32" spans="2:25" ht="16">
      <c r="B32" s="221">
        <f t="shared" si="3"/>
        <v>23</v>
      </c>
      <c r="C32" s="222">
        <f t="shared" si="6"/>
        <v>127289.14423024493</v>
      </c>
      <c r="D32" s="222">
        <f t="shared" si="7"/>
        <v>162692.49708515205</v>
      </c>
      <c r="E32" s="222">
        <f t="shared" si="4"/>
        <v>4067954.4738083514</v>
      </c>
      <c r="F32" s="222">
        <f t="shared" si="0"/>
        <v>2888398.5092297206</v>
      </c>
      <c r="G32" s="218">
        <f t="shared" si="1"/>
        <v>23</v>
      </c>
      <c r="H32" s="223">
        <f t="shared" si="5"/>
        <v>129701.12921182597</v>
      </c>
      <c r="I32" s="220">
        <f t="shared" si="2"/>
        <v>-398102.17020892678</v>
      </c>
      <c r="J32" s="151"/>
      <c r="P32" s="240" t="s">
        <v>151</v>
      </c>
      <c r="Q32" s="241"/>
      <c r="R32" s="242">
        <f>R31*0.48</f>
        <v>4586.7856124621358</v>
      </c>
      <c r="S32" s="241" t="s">
        <v>153</v>
      </c>
      <c r="T32" s="5" t="s">
        <v>154</v>
      </c>
    </row>
    <row r="33" spans="2:25" ht="16">
      <c r="B33" s="221">
        <f t="shared" si="3"/>
        <v>24</v>
      </c>
      <c r="C33" s="222">
        <f t="shared" si="6"/>
        <v>129198.48139369859</v>
      </c>
      <c r="D33" s="222">
        <f t="shared" si="7"/>
        <v>175013.64980929525</v>
      </c>
      <c r="E33" s="222">
        <f t="shared" si="4"/>
        <v>4372166.6050113449</v>
      </c>
      <c r="F33" s="222">
        <f t="shared" si="0"/>
        <v>3058522.5635977536</v>
      </c>
      <c r="G33" s="218">
        <f t="shared" si="1"/>
        <v>24</v>
      </c>
      <c r="H33" s="223">
        <f t="shared" si="5"/>
        <v>131646.64615000336</v>
      </c>
      <c r="I33" s="220">
        <f t="shared" si="2"/>
        <v>-541537.16314327484</v>
      </c>
      <c r="P33" s="240" t="s">
        <v>151</v>
      </c>
      <c r="Q33" s="241"/>
      <c r="R33" s="242" t="e">
        <f>#REF!</f>
        <v>#REF!</v>
      </c>
      <c r="S33" s="241" t="s">
        <v>153</v>
      </c>
      <c r="T33" s="264" t="s">
        <v>155</v>
      </c>
      <c r="U33" s="264"/>
      <c r="V33" s="264"/>
    </row>
    <row r="34" spans="2:25" ht="16">
      <c r="B34" s="221">
        <f t="shared" si="3"/>
        <v>25</v>
      </c>
      <c r="C34" s="222">
        <f t="shared" si="6"/>
        <v>131136.45861460405</v>
      </c>
      <c r="D34" s="222">
        <f t="shared" si="7"/>
        <v>187938.07023339471</v>
      </c>
      <c r="E34" s="222">
        <f t="shared" si="4"/>
        <v>4691241.1338593429</v>
      </c>
      <c r="F34" s="222">
        <f t="shared" si="0"/>
        <v>3233230.7488889052</v>
      </c>
      <c r="G34" s="218">
        <f t="shared" si="1"/>
        <v>25</v>
      </c>
      <c r="H34" s="223">
        <f t="shared" si="5"/>
        <v>133621.34584225339</v>
      </c>
      <c r="I34" s="220">
        <f t="shared" si="2"/>
        <v>-690616.62749992474</v>
      </c>
      <c r="T34" s="264"/>
      <c r="U34" s="264"/>
      <c r="V34" s="264"/>
      <c r="Y34" s="5" t="s">
        <v>76</v>
      </c>
    </row>
    <row r="35" spans="2:25" ht="16">
      <c r="B35" s="221">
        <f t="shared" si="3"/>
        <v>26</v>
      </c>
      <c r="C35" s="222">
        <f t="shared" si="6"/>
        <v>133103.50549382309</v>
      </c>
      <c r="D35" s="222">
        <f t="shared" si="7"/>
        <v>201492.52874777489</v>
      </c>
      <c r="E35" s="222">
        <f t="shared" si="4"/>
        <v>5025837.168100941</v>
      </c>
      <c r="F35" s="222">
        <f t="shared" si="0"/>
        <v>3412646.5882369177</v>
      </c>
      <c r="G35" s="218">
        <f t="shared" si="1"/>
        <v>26</v>
      </c>
      <c r="H35" s="223">
        <f t="shared" si="5"/>
        <v>135625.66602988719</v>
      </c>
      <c r="I35" s="220">
        <f t="shared" si="2"/>
        <v>-845513.98612149467</v>
      </c>
      <c r="K35" s="5" t="s">
        <v>148</v>
      </c>
      <c r="T35" s="264"/>
      <c r="U35" s="264"/>
      <c r="V35" s="264"/>
    </row>
    <row r="36" spans="2:25" ht="16">
      <c r="B36" s="221">
        <f t="shared" si="3"/>
        <v>27</v>
      </c>
      <c r="C36" s="222">
        <f t="shared" si="6"/>
        <v>135100.05807623043</v>
      </c>
      <c r="D36" s="222">
        <f t="shared" si="7"/>
        <v>215704.94779883904</v>
      </c>
      <c r="E36" s="222">
        <f t="shared" si="4"/>
        <v>5376642.1739760106</v>
      </c>
      <c r="F36" s="222">
        <f t="shared" si="0"/>
        <v>3596896.9332067706</v>
      </c>
      <c r="G36" s="218">
        <f t="shared" si="1"/>
        <v>27</v>
      </c>
      <c r="H36" s="223">
        <f t="shared" si="5"/>
        <v>137660.05102033549</v>
      </c>
      <c r="I36" s="220">
        <f t="shared" si="2"/>
        <v>-1006407.5184773908</v>
      </c>
      <c r="K36" s="5" t="s">
        <v>149</v>
      </c>
      <c r="T36" s="264"/>
      <c r="U36" s="264"/>
      <c r="V36" s="264"/>
    </row>
    <row r="37" spans="2:25" ht="16">
      <c r="B37" s="221">
        <f t="shared" si="3"/>
        <v>28</v>
      </c>
      <c r="C37" s="222">
        <f t="shared" si="6"/>
        <v>137126.55894737388</v>
      </c>
      <c r="D37" s="222">
        <f t="shared" si="7"/>
        <v>230604.4509535947</v>
      </c>
      <c r="E37" s="222">
        <f t="shared" si="4"/>
        <v>5744373.1838769792</v>
      </c>
      <c r="F37" s="222">
        <f t="shared" si="0"/>
        <v>3786112.0534819695</v>
      </c>
      <c r="G37" s="218">
        <f t="shared" si="1"/>
        <v>28</v>
      </c>
      <c r="H37" s="223">
        <f t="shared" si="5"/>
        <v>139724.9517856405</v>
      </c>
      <c r="I37" s="220">
        <f t="shared" si="2"/>
        <v>-1173480.4908199783</v>
      </c>
      <c r="K37" s="5" t="s">
        <v>150</v>
      </c>
      <c r="T37" s="264"/>
      <c r="U37" s="264"/>
      <c r="V37" s="264"/>
    </row>
    <row r="38" spans="2:25" ht="16">
      <c r="B38" s="221">
        <f t="shared" si="3"/>
        <v>29</v>
      </c>
      <c r="C38" s="222">
        <f t="shared" si="6"/>
        <v>139183.45733158448</v>
      </c>
      <c r="D38" s="222">
        <f t="shared" si="7"/>
        <v>246221.41404618637</v>
      </c>
      <c r="E38" s="222">
        <f t="shared" si="4"/>
        <v>6129778.05525475</v>
      </c>
      <c r="F38" s="222">
        <f t="shared" si="0"/>
        <v>3980425.7289685234</v>
      </c>
      <c r="G38" s="218">
        <f t="shared" si="1"/>
        <v>29</v>
      </c>
      <c r="H38" s="223">
        <f t="shared" si="5"/>
        <v>141820.8260624251</v>
      </c>
      <c r="I38" s="220">
        <f t="shared" si="2"/>
        <v>-1346921.2897492622</v>
      </c>
      <c r="T38" s="264"/>
      <c r="U38" s="264"/>
      <c r="V38" s="264"/>
    </row>
    <row r="39" spans="2:25" ht="16">
      <c r="B39" s="221">
        <f t="shared" si="3"/>
        <v>30</v>
      </c>
      <c r="C39" s="222">
        <f t="shared" si="6"/>
        <v>141271.20919155824</v>
      </c>
      <c r="D39" s="222">
        <f t="shared" si="7"/>
        <v>262587.51849466993</v>
      </c>
      <c r="E39" s="222">
        <f t="shared" si="4"/>
        <v>6533636.7829409782</v>
      </c>
      <c r="F39" s="222">
        <f t="shared" si="0"/>
        <v>4179975.3443807508</v>
      </c>
      <c r="G39" s="218">
        <f t="shared" si="1"/>
        <v>30</v>
      </c>
      <c r="H39" s="223">
        <f t="shared" si="5"/>
        <v>143948.13845336146</v>
      </c>
      <c r="I39" s="220">
        <f t="shared" si="2"/>
        <v>-1526923.5592742022</v>
      </c>
    </row>
    <row r="40" spans="2:25" ht="16">
      <c r="B40" s="221">
        <f t="shared" si="3"/>
        <v>31</v>
      </c>
      <c r="C40" s="222">
        <f t="shared" si="6"/>
        <v>143390.27732943161</v>
      </c>
      <c r="D40" s="222">
        <f t="shared" si="7"/>
        <v>279735.80688000115</v>
      </c>
      <c r="E40" s="222">
        <f t="shared" si="4"/>
        <v>6956762.867150411</v>
      </c>
      <c r="F40" s="222">
        <f t="shared" si="0"/>
        <v>4384901.9863757603</v>
      </c>
      <c r="G40" s="218">
        <f t="shared" si="1"/>
        <v>31</v>
      </c>
      <c r="H40" s="223">
        <f t="shared" si="5"/>
        <v>146107.36053016188</v>
      </c>
      <c r="I40" s="220">
        <f t="shared" si="2"/>
        <v>-1713686.3414610573</v>
      </c>
    </row>
    <row r="41" spans="2:25" ht="16">
      <c r="B41" s="221">
        <f t="shared" si="3"/>
        <v>32</v>
      </c>
      <c r="C41" s="222">
        <f t="shared" si="6"/>
        <v>145541.13148937307</v>
      </c>
      <c r="D41" s="222">
        <f t="shared" si="7"/>
        <v>297700.74088310741</v>
      </c>
      <c r="E41" s="222">
        <f t="shared" si="4"/>
        <v>7400004.7395228911</v>
      </c>
      <c r="F41" s="222">
        <f t="shared" si="0"/>
        <v>4595350.5433053151</v>
      </c>
      <c r="G41" s="218">
        <f t="shared" si="1"/>
        <v>32</v>
      </c>
      <c r="H41" s="223">
        <f t="shared" si="5"/>
        <v>148298.9709381143</v>
      </c>
      <c r="I41" s="220">
        <f t="shared" si="2"/>
        <v>-1907414.2207614658</v>
      </c>
    </row>
    <row r="42" spans="2:25" ht="16">
      <c r="B42" s="221">
        <f t="shared" si="3"/>
        <v>33</v>
      </c>
      <c r="C42" s="222">
        <f t="shared" si="6"/>
        <v>147724.24846171367</v>
      </c>
      <c r="D42" s="222">
        <f t="shared" si="7"/>
        <v>316518.26167997124</v>
      </c>
      <c r="E42" s="222">
        <f t="shared" si="4"/>
        <v>7864247.2496645767</v>
      </c>
      <c r="F42" s="222">
        <f t="shared" si="0"/>
        <v>4811469.8076555831</v>
      </c>
      <c r="G42" s="218">
        <f t="shared" si="1"/>
        <v>33</v>
      </c>
      <c r="H42" s="223">
        <f t="shared" si="5"/>
        <v>150523.455502186</v>
      </c>
      <c r="I42" s="220">
        <f t="shared" si="2"/>
        <v>-2108317.472115356</v>
      </c>
    </row>
    <row r="43" spans="2:25" ht="16">
      <c r="B43" s="221">
        <f t="shared" si="3"/>
        <v>34</v>
      </c>
      <c r="C43" s="222">
        <f t="shared" si="6"/>
        <v>149940.11218863935</v>
      </c>
      <c r="D43" s="222">
        <f t="shared" si="7"/>
        <v>336225.85289888928</v>
      </c>
      <c r="E43" s="222">
        <f t="shared" si="4"/>
        <v>8350413.2147521051</v>
      </c>
      <c r="F43" s="222">
        <f t="shared" si="0"/>
        <v>5033412.5812472105</v>
      </c>
      <c r="G43" s="218">
        <f t="shared" si="1"/>
        <v>34</v>
      </c>
      <c r="H43" s="223">
        <f t="shared" si="5"/>
        <v>152781.30733471879</v>
      </c>
      <c r="I43" s="220">
        <f t="shared" si="2"/>
        <v>-2316612.2129262136</v>
      </c>
    </row>
    <row r="44" spans="2:25" ht="16">
      <c r="B44" s="221">
        <f t="shared" si="3"/>
        <v>35</v>
      </c>
      <c r="C44" s="222">
        <f t="shared" si="6"/>
        <v>152189.21387146894</v>
      </c>
      <c r="D44" s="222">
        <f t="shared" si="7"/>
        <v>356862.60624848003</v>
      </c>
      <c r="E44" s="222">
        <f t="shared" si="4"/>
        <v>8859465.0348720532</v>
      </c>
      <c r="F44" s="222">
        <f t="shared" si="0"/>
        <v>5261335.7832700983</v>
      </c>
      <c r="G44" s="218">
        <f t="shared" si="1"/>
        <v>35</v>
      </c>
      <c r="H44" s="223">
        <f t="shared" si="5"/>
        <v>155073.02694473957</v>
      </c>
      <c r="I44" s="220">
        <f t="shared" si="2"/>
        <v>-2532520.5590087413</v>
      </c>
    </row>
    <row r="45" spans="2:25" ht="16">
      <c r="B45" s="221">
        <f t="shared" si="3"/>
        <v>36</v>
      </c>
      <c r="C45" s="222">
        <f t="shared" si="6"/>
        <v>154472.05207954097</v>
      </c>
      <c r="D45" s="222">
        <f t="shared" si="7"/>
        <v>378469.28992961574</v>
      </c>
      <c r="E45" s="222">
        <f t="shared" si="4"/>
        <v>9392406.3768812101</v>
      </c>
      <c r="F45" s="222">
        <f t="shared" si="0"/>
        <v>5495400.561229269</v>
      </c>
      <c r="G45" s="218">
        <f t="shared" si="1"/>
        <v>36</v>
      </c>
      <c r="H45" s="223">
        <f t="shared" si="5"/>
        <v>157399.12234891063</v>
      </c>
      <c r="I45" s="220">
        <f t="shared" si="2"/>
        <v>-2756270.7846115069</v>
      </c>
    </row>
    <row r="46" spans="2:25" ht="16">
      <c r="B46" s="221">
        <f t="shared" si="3"/>
        <v>37</v>
      </c>
      <c r="C46" s="222">
        <f t="shared" si="6"/>
        <v>156789.13286073407</v>
      </c>
      <c r="D46" s="222">
        <f t="shared" si="7"/>
        <v>401088.41994924535</v>
      </c>
      <c r="E46" s="222">
        <f t="shared" si="4"/>
        <v>9950283.929691188</v>
      </c>
      <c r="F46" s="222">
        <f t="shared" si="0"/>
        <v>5735772.4048802461</v>
      </c>
      <c r="G46" s="218">
        <f t="shared" si="1"/>
        <v>37</v>
      </c>
      <c r="H46" s="223">
        <f t="shared" si="5"/>
        <v>159760.10918414427</v>
      </c>
      <c r="I46" s="220">
        <f t="shared" si="2"/>
        <v>-2988097.4866198138</v>
      </c>
    </row>
    <row r="47" spans="2:25" ht="16">
      <c r="B47" s="221">
        <f t="shared" si="3"/>
        <v>38</v>
      </c>
      <c r="C47" s="222">
        <f t="shared" si="6"/>
        <v>159140.96985364507</v>
      </c>
      <c r="D47" s="222">
        <f t="shared" si="7"/>
        <v>424764.33445907274</v>
      </c>
      <c r="E47" s="222">
        <f t="shared" si="4"/>
        <v>10534189.234003905</v>
      </c>
      <c r="F47" s="222">
        <f t="shared" si="0"/>
        <v>5982621.2632345278</v>
      </c>
      <c r="G47" s="218">
        <f t="shared" si="1"/>
        <v>38</v>
      </c>
      <c r="H47" s="223">
        <f t="shared" si="5"/>
        <v>162156.51082190641</v>
      </c>
      <c r="I47" s="220">
        <f t="shared" si="2"/>
        <v>-3228241.7530467222</v>
      </c>
    </row>
    <row r="48" spans="2:25" ht="16">
      <c r="B48" s="221">
        <f t="shared" si="3"/>
        <v>39</v>
      </c>
      <c r="C48" s="222">
        <f t="shared" si="6"/>
        <v>161528.08440144974</v>
      </c>
      <c r="D48" s="222">
        <f t="shared" si="7"/>
        <v>449543.27124726615</v>
      </c>
      <c r="E48" s="222">
        <f t="shared" si="4"/>
        <v>11145260.58965262</v>
      </c>
      <c r="F48" s="222">
        <f t="shared" si="0"/>
        <v>6236121.6647178633</v>
      </c>
      <c r="G48" s="218">
        <f t="shared" si="1"/>
        <v>39</v>
      </c>
      <c r="H48" s="223">
        <f t="shared" si="5"/>
        <v>164588.85848423498</v>
      </c>
      <c r="I48" s="220">
        <f t="shared" si="2"/>
        <v>-3476951.3359229169</v>
      </c>
    </row>
    <row r="49" spans="2:9" ht="16">
      <c r="B49" s="221">
        <f t="shared" si="3"/>
        <v>40</v>
      </c>
      <c r="C49" s="222">
        <f t="shared" si="6"/>
        <v>163951.00566747147</v>
      </c>
      <c r="D49" s="222">
        <f t="shared" si="7"/>
        <v>475473.44851679722</v>
      </c>
      <c r="E49" s="222">
        <f t="shared" si="4"/>
        <v>11784685.04383689</v>
      </c>
      <c r="F49" s="222">
        <f t="shared" si="0"/>
        <v>6496452.8405662924</v>
      </c>
      <c r="G49" s="218">
        <f t="shared" si="1"/>
        <v>40</v>
      </c>
      <c r="H49" s="223">
        <f t="shared" si="5"/>
        <v>167057.6913614985</v>
      </c>
      <c r="I49" s="220">
        <f t="shared" si="2"/>
        <v>-3734480.8286989648</v>
      </c>
    </row>
    <row r="50" spans="2:9" ht="16">
      <c r="B50" s="221">
        <f t="shared" si="3"/>
        <v>41</v>
      </c>
      <c r="C50" s="222">
        <f t="shared" si="6"/>
        <v>166410.27075248354</v>
      </c>
      <c r="D50" s="222">
        <f t="shared" si="7"/>
        <v>502605.1490896761</v>
      </c>
      <c r="E50" s="222">
        <f t="shared" si="4"/>
        <v>12453700.463679049</v>
      </c>
      <c r="F50" s="222">
        <f t="shared" si="0"/>
        <v>6763798.8515471881</v>
      </c>
      <c r="G50" s="218">
        <f t="shared" si="1"/>
        <v>41</v>
      </c>
      <c r="H50" s="223">
        <f t="shared" si="5"/>
        <v>169563.55673192095</v>
      </c>
      <c r="I50" s="220">
        <f t="shared" si="2"/>
        <v>-4001091.8482764056</v>
      </c>
    </row>
    <row r="51" spans="2:9" ht="16">
      <c r="B51" s="221">
        <f t="shared" si="3"/>
        <v>42</v>
      </c>
      <c r="C51" s="222">
        <f t="shared" si="6"/>
        <v>168906.42481377078</v>
      </c>
      <c r="D51" s="222">
        <f t="shared" si="7"/>
        <v>530990.8081822393</v>
      </c>
      <c r="E51" s="222">
        <f t="shared" si="4"/>
        <v>13153597.69667506</v>
      </c>
      <c r="F51" s="222">
        <f t="shared" si="0"/>
        <v>7038348.7180949096</v>
      </c>
      <c r="G51" s="218">
        <f t="shared" si="1"/>
        <v>42</v>
      </c>
      <c r="H51" s="223">
        <f t="shared" si="5"/>
        <v>172107.01008289974</v>
      </c>
      <c r="I51" s="220">
        <f t="shared" si="2"/>
        <v>-4277053.2217871118</v>
      </c>
    </row>
    <row r="52" spans="2:9" ht="16">
      <c r="B52" s="221">
        <f t="shared" si="3"/>
        <v>43</v>
      </c>
      <c r="C52" s="222">
        <f t="shared" si="6"/>
        <v>171440.02118597733</v>
      </c>
      <c r="D52" s="222">
        <f t="shared" si="7"/>
        <v>560685.10490280192</v>
      </c>
      <c r="E52" s="222">
        <f t="shared" si="4"/>
        <v>13885722.82276384</v>
      </c>
      <c r="F52" s="222">
        <f t="shared" si="0"/>
        <v>7320296.5539530553</v>
      </c>
      <c r="G52" s="218">
        <f t="shared" si="1"/>
        <v>43</v>
      </c>
      <c r="H52" s="223">
        <f t="shared" si="5"/>
        <v>174688.61523414322</v>
      </c>
      <c r="I52" s="220">
        <f t="shared" si="2"/>
        <v>-4562641.1782434154</v>
      </c>
    </row>
    <row r="53" spans="2:9" ht="16">
      <c r="B53" s="221">
        <f t="shared" si="3"/>
        <v>44</v>
      </c>
      <c r="C53" s="222">
        <f t="shared" si="6"/>
        <v>174011.62150376698</v>
      </c>
      <c r="D53" s="222">
        <f t="shared" si="7"/>
        <v>591745.05762939097</v>
      </c>
      <c r="E53" s="222">
        <f t="shared" si="4"/>
        <v>14651479.501896998</v>
      </c>
      <c r="F53" s="222">
        <f t="shared" si="0"/>
        <v>7609841.7034178227</v>
      </c>
      <c r="G53" s="218">
        <f t="shared" si="1"/>
        <v>44</v>
      </c>
      <c r="H53" s="223">
        <f t="shared" si="5"/>
        <v>177308.94446265534</v>
      </c>
      <c r="I53" s="220">
        <f t="shared" si="2"/>
        <v>-4858139.5451846337</v>
      </c>
    </row>
    <row r="54" spans="2:9" ht="16">
      <c r="B54" s="221">
        <f t="shared" si="3"/>
        <v>45</v>
      </c>
      <c r="C54" s="222">
        <f t="shared" si="6"/>
        <v>176621.79582632348</v>
      </c>
      <c r="D54" s="222">
        <f t="shared" si="7"/>
        <v>624230.12343196024</v>
      </c>
      <c r="E54" s="222">
        <f t="shared" si="4"/>
        <v>15452331.421155281</v>
      </c>
      <c r="F54" s="222">
        <f t="shared" si="0"/>
        <v>7907188.8822794957</v>
      </c>
      <c r="G54" s="218">
        <f t="shared" si="1"/>
        <v>45</v>
      </c>
      <c r="H54" s="223">
        <f t="shared" si="5"/>
        <v>179968.57862959517</v>
      </c>
      <c r="I54" s="220">
        <f t="shared" si="2"/>
        <v>-5163839.9504488595</v>
      </c>
    </row>
    <row r="55" spans="2:9" ht="16">
      <c r="B55" s="221">
        <f t="shared" si="3"/>
        <v>46</v>
      </c>
      <c r="C55" s="222">
        <f t="shared" si="6"/>
        <v>179271.1227637183</v>
      </c>
      <c r="D55" s="222">
        <f t="shared" si="7"/>
        <v>658202.30171044799</v>
      </c>
      <c r="E55" s="222">
        <f t="shared" si="4"/>
        <v>16289804.845629446</v>
      </c>
      <c r="F55" s="222">
        <f t="shared" si="0"/>
        <v>8212548.3225617278</v>
      </c>
      <c r="G55" s="218">
        <f t="shared" si="1"/>
        <v>46</v>
      </c>
      <c r="H55" s="223">
        <f t="shared" si="5"/>
        <v>182668.10730903907</v>
      </c>
      <c r="I55" s="220">
        <f t="shared" si="2"/>
        <v>-5480042.0292021651</v>
      </c>
    </row>
    <row r="56" spans="2:9" ht="16">
      <c r="B56" s="221">
        <f t="shared" si="3"/>
        <v>47</v>
      </c>
      <c r="C56" s="222">
        <f t="shared" si="6"/>
        <v>181960.18960517406</v>
      </c>
      <c r="D56" s="222">
        <f t="shared" si="7"/>
        <v>693726.24222729658</v>
      </c>
      <c r="E56" s="222">
        <f t="shared" si="4"/>
        <v>17165491.277461916</v>
      </c>
      <c r="F56" s="222">
        <f t="shared" si="0"/>
        <v>8526135.9211609252</v>
      </c>
      <c r="G56" s="218">
        <f t="shared" si="1"/>
        <v>47</v>
      </c>
      <c r="H56" s="223">
        <f t="shared" si="5"/>
        <v>185408.12891867463</v>
      </c>
      <c r="I56" s="220">
        <f t="shared" si="2"/>
        <v>-5807053.6363607785</v>
      </c>
    </row>
    <row r="57" spans="2:9" ht="16">
      <c r="B57" s="221">
        <f t="shared" si="3"/>
        <v>48</v>
      </c>
      <c r="C57" s="222">
        <f t="shared" si="6"/>
        <v>184689.59244925165</v>
      </c>
      <c r="D57" s="222">
        <f t="shared" si="7"/>
        <v>730869.35772062512</v>
      </c>
      <c r="E57" s="222">
        <f t="shared" si="4"/>
        <v>18081050.227631792</v>
      </c>
      <c r="F57" s="222">
        <f t="shared" si="0"/>
        <v>8848173.3924908489</v>
      </c>
      <c r="G57" s="218">
        <f t="shared" si="1"/>
        <v>48</v>
      </c>
      <c r="H57" s="223">
        <f t="shared" si="5"/>
        <v>188189.25085245474</v>
      </c>
      <c r="I57" s="220">
        <f t="shared" si="2"/>
        <v>-6145191.0645452403</v>
      </c>
    </row>
    <row r="58" spans="2:9" ht="16">
      <c r="B58" s="221">
        <f t="shared" si="3"/>
        <v>49</v>
      </c>
      <c r="C58" s="222">
        <f t="shared" si="6"/>
        <v>187459.93633599041</v>
      </c>
      <c r="D58" s="222">
        <f t="shared" si="7"/>
        <v>769701.94129212108</v>
      </c>
      <c r="E58" s="222">
        <f t="shared" si="4"/>
        <v>19038212.105259907</v>
      </c>
      <c r="F58" s="222">
        <f t="shared" si="0"/>
        <v>9178888.4252403546</v>
      </c>
      <c r="G58" s="218">
        <f t="shared" si="1"/>
        <v>49</v>
      </c>
      <c r="H58" s="223">
        <f t="shared" si="5"/>
        <v>191012.08961524154</v>
      </c>
      <c r="I58" s="220">
        <f t="shared" si="2"/>
        <v>-6494779.2677091379</v>
      </c>
    </row>
    <row r="59" spans="2:9" ht="16">
      <c r="B59" s="221">
        <f t="shared" si="3"/>
        <v>50</v>
      </c>
      <c r="C59" s="222">
        <f t="shared" si="6"/>
        <v>190271.83538103025</v>
      </c>
      <c r="D59" s="222">
        <f t="shared" si="7"/>
        <v>810297.28877195041</v>
      </c>
      <c r="E59" s="222">
        <f t="shared" si="4"/>
        <v>20038781.229412887</v>
      </c>
      <c r="F59" s="222">
        <f t="shared" si="0"/>
        <v>9518514.8433550783</v>
      </c>
      <c r="G59" s="218">
        <f t="shared" si="1"/>
        <v>50</v>
      </c>
      <c r="H59" s="223">
        <f t="shared" si="5"/>
        <v>193877.27095947013</v>
      </c>
      <c r="I59" s="220">
        <f t="shared" si="2"/>
        <v>-6856152.0905886376</v>
      </c>
    </row>
  </sheetData>
  <mergeCells count="1">
    <mergeCell ref="T33:V38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6CA1-F41D-1A4A-812D-A9D94E5E8E09}">
  <sheetPr>
    <pageSetUpPr fitToPage="1"/>
  </sheetPr>
  <dimension ref="A1:AN386"/>
  <sheetViews>
    <sheetView zoomScale="120" zoomScaleNormal="120" workbookViewId="0">
      <selection activeCell="K34" sqref="K34"/>
    </sheetView>
  </sheetViews>
  <sheetFormatPr baseColWidth="10" defaultColWidth="8.83203125" defaultRowHeight="13"/>
  <cols>
    <col min="1" max="1" width="1.6640625" style="1" customWidth="1"/>
    <col min="2" max="2" width="51.83203125" style="5" customWidth="1"/>
    <col min="3" max="3" width="14" style="5" customWidth="1"/>
    <col min="4" max="4" width="14.5" style="4" customWidth="1"/>
    <col min="5" max="5" width="5.5" style="4" customWidth="1"/>
    <col min="6" max="6" width="37.5" style="4" customWidth="1"/>
    <col min="7" max="7" width="9.5" style="4" customWidth="1"/>
    <col min="8" max="8" width="12.1640625" style="4" customWidth="1"/>
    <col min="9" max="9" width="12.5" style="5" customWidth="1"/>
    <col min="10" max="10" width="13.5" style="5" customWidth="1"/>
    <col min="11" max="11" width="11.83203125" style="5" customWidth="1"/>
    <col min="12" max="12" width="14.5" style="5" customWidth="1"/>
    <col min="13" max="25" width="13.5" style="5" customWidth="1"/>
    <col min="26" max="27" width="11" style="5" customWidth="1"/>
    <col min="28" max="28" width="14.1640625" style="5" customWidth="1"/>
    <col min="29" max="40" width="11" style="5" customWidth="1"/>
    <col min="41" max="16384" width="8.83203125" style="5"/>
  </cols>
  <sheetData>
    <row r="1" spans="1:32" ht="19" thickBot="1">
      <c r="B1" s="2" t="s">
        <v>0</v>
      </c>
      <c r="C1" s="3" t="s">
        <v>1</v>
      </c>
      <c r="D1" s="2"/>
      <c r="F1" s="5"/>
      <c r="G1" s="5"/>
      <c r="H1" s="5"/>
    </row>
    <row r="2" spans="1:32" ht="14" thickBot="1">
      <c r="B2" s="6"/>
      <c r="C2" s="7" t="s">
        <v>2</v>
      </c>
      <c r="D2" s="8"/>
      <c r="F2" s="9"/>
      <c r="I2" s="254" t="str">
        <f>C2</f>
        <v>Person</v>
      </c>
      <c r="J2" s="255"/>
      <c r="K2" s="256"/>
      <c r="L2" s="256"/>
    </row>
    <row r="3" spans="1:32">
      <c r="B3" s="10" t="s">
        <v>3</v>
      </c>
      <c r="C3" s="11">
        <v>63100</v>
      </c>
      <c r="D3" s="12"/>
      <c r="F3" s="13"/>
      <c r="G3" s="14"/>
      <c r="H3" s="15"/>
      <c r="I3" s="257" t="s">
        <v>4</v>
      </c>
      <c r="J3" s="259" t="s">
        <v>5</v>
      </c>
      <c r="K3" s="261"/>
      <c r="L3" s="262"/>
    </row>
    <row r="4" spans="1:32" ht="14" thickBot="1">
      <c r="B4" s="16" t="s">
        <v>6</v>
      </c>
      <c r="C4" s="17">
        <f>58100+'Tom salg mangler (80%)'!D2</f>
        <v>172769.64031155338</v>
      </c>
      <c r="D4" s="12"/>
      <c r="F4" s="18" t="s">
        <v>7</v>
      </c>
      <c r="G4" s="19" t="s">
        <v>8</v>
      </c>
      <c r="H4" s="20" t="s">
        <v>9</v>
      </c>
      <c r="I4" s="258"/>
      <c r="J4" s="260"/>
      <c r="K4" s="261"/>
      <c r="L4" s="262"/>
    </row>
    <row r="5" spans="1:32">
      <c r="B5" s="16" t="s">
        <v>10</v>
      </c>
      <c r="C5" s="17">
        <v>53</v>
      </c>
      <c r="D5" s="21"/>
      <c r="F5" s="10" t="s">
        <v>11</v>
      </c>
      <c r="G5" s="22">
        <f>Bundskat</f>
        <v>0.1201</v>
      </c>
      <c r="H5" s="23">
        <f>Personfradrag</f>
        <v>51600</v>
      </c>
      <c r="I5" s="24">
        <f>IF(C35&gt;=0,C31+C35-H5,C31-H5)</f>
        <v>595730.35968844662</v>
      </c>
      <c r="J5" s="25">
        <f>+IF(I5&gt;0,G5*I5,0)</f>
        <v>71547.216198582435</v>
      </c>
      <c r="K5" s="4"/>
      <c r="L5" s="4"/>
      <c r="N5" s="4"/>
    </row>
    <row r="6" spans="1:32">
      <c r="B6" s="16" t="s">
        <v>12</v>
      </c>
      <c r="C6" s="26" t="s">
        <v>13</v>
      </c>
      <c r="D6" s="12"/>
      <c r="F6" s="16" t="s">
        <v>14</v>
      </c>
      <c r="G6" s="27">
        <f>Topskat</f>
        <v>0.15</v>
      </c>
      <c r="H6" s="28">
        <f>TopSkatGranse</f>
        <v>611800</v>
      </c>
      <c r="I6" s="29">
        <f>MAX((C70-$H$6),0)</f>
        <v>35530.359688446624</v>
      </c>
      <c r="J6" s="30">
        <f>G6*I6</f>
        <v>5329.5539532669936</v>
      </c>
      <c r="K6" s="4"/>
      <c r="L6" s="9"/>
      <c r="N6" s="4"/>
    </row>
    <row r="7" spans="1:32">
      <c r="B7" s="16" t="s">
        <v>15</v>
      </c>
      <c r="C7" s="17">
        <v>0</v>
      </c>
      <c r="D7" s="12"/>
      <c r="F7" s="16" t="s">
        <v>16</v>
      </c>
      <c r="G7" s="27">
        <f>Sundhedsbidrag</f>
        <v>0</v>
      </c>
      <c r="H7" s="28">
        <f>Personfradrag</f>
        <v>51600</v>
      </c>
      <c r="I7" s="29">
        <f>($C$45+AB29)-(H7+AB43)</f>
        <v>510414.35968844662</v>
      </c>
      <c r="J7" s="30">
        <f>+IF(I7&gt;0,I7*G7,0)</f>
        <v>0</v>
      </c>
      <c r="K7" s="4"/>
      <c r="L7" s="9"/>
      <c r="N7" s="4"/>
    </row>
    <row r="8" spans="1:32">
      <c r="B8" s="16" t="s">
        <v>17</v>
      </c>
      <c r="C8" s="17">
        <v>0</v>
      </c>
      <c r="D8" s="31"/>
      <c r="F8" s="16" t="s">
        <v>18</v>
      </c>
      <c r="G8" s="27">
        <f>C13</f>
        <v>0.24379999999999999</v>
      </c>
      <c r="H8" s="28">
        <f>Personfradrag</f>
        <v>51600</v>
      </c>
      <c r="I8" s="29">
        <f>($C$45+AB29)-(H8+AB44)</f>
        <v>510414.35968844662</v>
      </c>
      <c r="J8" s="30">
        <f>+IF(I8&gt;0,$C$13*I8,0)</f>
        <v>124439.02089204328</v>
      </c>
      <c r="K8" s="4"/>
      <c r="L8" s="9"/>
      <c r="N8" s="4"/>
    </row>
    <row r="9" spans="1:32" ht="14" thickBot="1">
      <c r="B9" s="32" t="s">
        <v>19</v>
      </c>
      <c r="C9" s="33">
        <v>0</v>
      </c>
      <c r="D9" s="12"/>
      <c r="F9" s="16" t="s">
        <v>20</v>
      </c>
      <c r="G9" s="27">
        <f>C14</f>
        <v>6.0000000000000001E-3</v>
      </c>
      <c r="H9" s="28">
        <f>Personfradrag</f>
        <v>51600</v>
      </c>
      <c r="I9" s="29">
        <f>($C$45+AB29)-(H9+AB45)</f>
        <v>510414.35968844662</v>
      </c>
      <c r="J9" s="30">
        <f>+IF(I9&gt;0,$C$14*I9,0)</f>
        <v>3062.48615813068</v>
      </c>
      <c r="K9" s="4"/>
      <c r="L9" s="9"/>
      <c r="N9" s="4"/>
    </row>
    <row r="10" spans="1:32" ht="14" thickBot="1">
      <c r="B10" s="16" t="s">
        <v>21</v>
      </c>
      <c r="C10" s="17">
        <v>0</v>
      </c>
      <c r="D10" s="27"/>
      <c r="F10" s="34"/>
      <c r="G10" s="35"/>
      <c r="H10" s="36"/>
      <c r="I10" s="37"/>
      <c r="J10" s="38">
        <f>SUM(J5:J9)</f>
        <v>204378.2772020234</v>
      </c>
      <c r="K10" s="4"/>
      <c r="L10" s="9"/>
      <c r="N10" s="4"/>
    </row>
    <row r="11" spans="1:32">
      <c r="B11" s="16" t="s">
        <v>22</v>
      </c>
      <c r="C11" s="26" t="s">
        <v>23</v>
      </c>
      <c r="D11" s="27"/>
      <c r="F11" s="29"/>
      <c r="I11" s="39"/>
      <c r="J11" s="40"/>
      <c r="K11" s="41"/>
      <c r="L11" s="42"/>
    </row>
    <row r="12" spans="1:32" ht="14" thickBot="1">
      <c r="B12" s="43" t="s">
        <v>24</v>
      </c>
      <c r="C12" s="44" t="s">
        <v>25</v>
      </c>
      <c r="D12" s="12"/>
      <c r="F12" s="45" t="s">
        <v>26</v>
      </c>
      <c r="G12" s="27"/>
      <c r="I12" s="29"/>
      <c r="J12" s="46">
        <f>IF(C35&gt;=0,0,IF(C35&gt;=GranseNegKIEnlig,TillagNegKI*C35,TillagNegKI*GranseNegKIEnlig))</f>
        <v>0</v>
      </c>
      <c r="K12" s="4"/>
      <c r="L12" s="42"/>
    </row>
    <row r="13" spans="1:32">
      <c r="B13" s="16" t="s">
        <v>27</v>
      </c>
      <c r="C13" s="47">
        <f>VLOOKUP($C$12,Skattesatser!$B$6:$E$103,2)/100</f>
        <v>0.24379999999999999</v>
      </c>
      <c r="D13" s="8"/>
      <c r="F13" s="48" t="s">
        <v>28</v>
      </c>
      <c r="G13" s="5"/>
      <c r="I13" s="49">
        <f>IF($C$73&gt;SkraatSkatteloftPI,$C$73-SkraatSkatteloftPI,0)</f>
        <v>0</v>
      </c>
      <c r="J13" s="46">
        <f>-I13*C75</f>
        <v>0</v>
      </c>
      <c r="K13" s="50"/>
      <c r="L13" s="51"/>
    </row>
    <row r="14" spans="1:32" s="54" customFormat="1">
      <c r="A14" s="52"/>
      <c r="B14" s="16" t="s">
        <v>29</v>
      </c>
      <c r="C14" s="47">
        <f>IF(C11="ja",VLOOKUP($C$12,Skattesatser!$B$6:$E$103,3)/100,0)</f>
        <v>6.0000000000000001E-3</v>
      </c>
      <c r="D14" s="53"/>
      <c r="F14" s="48" t="s">
        <v>30</v>
      </c>
      <c r="G14" s="5"/>
      <c r="H14" s="4"/>
      <c r="I14" s="49">
        <f>IF($C$73&gt;SkraatSkatteloftKI,$C$73-SkraatSkatteloftKI,0)</f>
        <v>9.3900000000000039E-2</v>
      </c>
      <c r="J14" s="46">
        <f>-I14*C76</f>
        <v>0</v>
      </c>
      <c r="K14" s="4"/>
      <c r="L14" s="4"/>
    </row>
    <row r="15" spans="1:32" s="54" customFormat="1" ht="14" thickBot="1">
      <c r="A15" s="52"/>
      <c r="B15" s="16" t="s">
        <v>31</v>
      </c>
      <c r="C15" s="47">
        <f>VLOOKUP($C$12,Skattesatser!$B$6:$E$103,4)/1000</f>
        <v>6.7000000000000002E-3</v>
      </c>
      <c r="D15" s="55"/>
      <c r="F15" s="48"/>
      <c r="G15" s="5"/>
      <c r="H15" s="4"/>
      <c r="I15" s="56"/>
      <c r="J15" s="30">
        <f>SUM(J10:J14)</f>
        <v>204378.2772020234</v>
      </c>
      <c r="K15" s="4"/>
      <c r="L15" s="9"/>
    </row>
    <row r="16" spans="1:32" s="54" customFormat="1" ht="14" thickBot="1">
      <c r="A16" s="52"/>
      <c r="B16" s="57" t="s">
        <v>32</v>
      </c>
      <c r="C16" s="11">
        <v>0</v>
      </c>
      <c r="D16" s="53"/>
      <c r="F16" s="45"/>
      <c r="G16" s="58"/>
      <c r="H16" s="4"/>
      <c r="I16" s="56"/>
      <c r="J16" s="59"/>
      <c r="K16" s="4"/>
      <c r="L16" s="58"/>
      <c r="AF16" s="5"/>
    </row>
    <row r="17" spans="1:32" s="54" customFormat="1">
      <c r="A17" s="52"/>
      <c r="B17" s="48" t="s">
        <v>33</v>
      </c>
      <c r="C17" s="17">
        <v>0</v>
      </c>
      <c r="D17" s="53"/>
      <c r="F17" s="60"/>
      <c r="G17" s="61"/>
      <c r="H17" s="61"/>
      <c r="I17" s="62"/>
      <c r="J17" s="25"/>
      <c r="L17" s="9"/>
      <c r="AF17" s="5"/>
    </row>
    <row r="18" spans="1:32" s="54" customFormat="1" ht="14" thickBot="1">
      <c r="A18" s="52"/>
      <c r="B18" s="63" t="s">
        <v>34</v>
      </c>
      <c r="C18" s="64">
        <v>0</v>
      </c>
      <c r="D18" s="53"/>
      <c r="F18" s="45" t="s">
        <v>35</v>
      </c>
      <c r="I18" s="65"/>
      <c r="J18" s="30">
        <f>J15+C27</f>
        <v>281178.27720202343</v>
      </c>
      <c r="L18" s="9"/>
      <c r="AF18" s="5"/>
    </row>
    <row r="19" spans="1:32" s="67" customFormat="1" ht="15" thickBot="1">
      <c r="A19" s="66"/>
      <c r="D19" s="68"/>
      <c r="F19" s="69" t="s">
        <v>36</v>
      </c>
      <c r="I19" s="70"/>
      <c r="J19" s="30">
        <f>+F63</f>
        <v>0</v>
      </c>
      <c r="K19" s="54"/>
      <c r="L19" s="9"/>
      <c r="AF19" s="5"/>
    </row>
    <row r="20" spans="1:32" s="67" customFormat="1">
      <c r="A20" s="66"/>
      <c r="B20" s="71" t="s">
        <v>37</v>
      </c>
      <c r="C20" s="72">
        <f>12*80000</f>
        <v>960000</v>
      </c>
      <c r="D20" s="73"/>
      <c r="E20" s="74"/>
      <c r="F20" s="45" t="s">
        <v>38</v>
      </c>
      <c r="I20" s="70"/>
      <c r="J20" s="30">
        <f>F64</f>
        <v>0</v>
      </c>
      <c r="L20" s="9"/>
      <c r="AB20" s="5"/>
      <c r="AC20" s="5"/>
      <c r="AD20" s="5"/>
      <c r="AE20" s="5"/>
      <c r="AF20" s="5"/>
    </row>
    <row r="21" spans="1:32" s="67" customFormat="1">
      <c r="A21" s="66"/>
      <c r="B21" s="45" t="s">
        <v>39</v>
      </c>
      <c r="C21" s="75">
        <v>0</v>
      </c>
      <c r="D21" s="4"/>
      <c r="E21" s="74"/>
      <c r="F21" s="45" t="s">
        <v>40</v>
      </c>
      <c r="I21" s="70"/>
      <c r="J21" s="30">
        <f>-C18</f>
        <v>0</v>
      </c>
      <c r="L21" s="9"/>
      <c r="AB21" s="5"/>
      <c r="AC21" s="5"/>
      <c r="AD21" s="5"/>
      <c r="AE21" s="5"/>
      <c r="AF21" s="5"/>
    </row>
    <row r="22" spans="1:32" ht="14" thickBot="1">
      <c r="B22" s="45" t="s">
        <v>41</v>
      </c>
      <c r="C22" s="76">
        <f>C21*C20</f>
        <v>0</v>
      </c>
      <c r="D22" s="12"/>
      <c r="F22" s="45"/>
      <c r="G22" s="67"/>
      <c r="H22" s="67"/>
      <c r="I22" s="70"/>
      <c r="J22" s="30"/>
      <c r="K22" s="67"/>
      <c r="L22" s="9"/>
    </row>
    <row r="23" spans="1:32" ht="17" thickBot="1">
      <c r="B23" s="45" t="s">
        <v>42</v>
      </c>
      <c r="C23" s="77">
        <v>0</v>
      </c>
      <c r="F23" s="78" t="s">
        <v>43</v>
      </c>
      <c r="G23" s="79"/>
      <c r="H23" s="79"/>
      <c r="I23" s="80"/>
      <c r="J23" s="81">
        <f>SUM(J18:J21)</f>
        <v>281178.27720202343</v>
      </c>
      <c r="L23" s="82"/>
      <c r="M23" s="4"/>
    </row>
    <row r="24" spans="1:32" ht="14" thickBot="1">
      <c r="B24" s="83" t="s">
        <v>44</v>
      </c>
      <c r="C24" s="84">
        <f>IF(C6="ja",FriTelefon,0)</f>
        <v>0</v>
      </c>
    </row>
    <row r="25" spans="1:32" s="67" customFormat="1" ht="15" thickBot="1">
      <c r="A25" s="85"/>
      <c r="B25" s="86" t="s">
        <v>45</v>
      </c>
      <c r="C25" s="87">
        <f>C20-C22+C23+C24</f>
        <v>960000</v>
      </c>
      <c r="D25" s="68"/>
      <c r="E25" s="74"/>
      <c r="F25" s="4"/>
      <c r="G25" s="4"/>
      <c r="H25" s="4"/>
      <c r="I25" s="5"/>
      <c r="J25" s="5"/>
      <c r="K25" s="5"/>
      <c r="L25" s="5"/>
      <c r="AA25" s="5"/>
      <c r="AB25" s="5"/>
      <c r="AC25" s="5"/>
      <c r="AD25" s="5"/>
      <c r="AE25" s="5"/>
    </row>
    <row r="26" spans="1:32" ht="15.75" customHeight="1" thickTop="1">
      <c r="A26" s="52"/>
      <c r="B26" s="88"/>
      <c r="C26" s="89"/>
      <c r="D26" s="5"/>
      <c r="F26" s="248" t="s">
        <v>46</v>
      </c>
      <c r="G26" s="249"/>
      <c r="H26" s="250"/>
      <c r="I26" s="254" t="str">
        <f>C2</f>
        <v>Person</v>
      </c>
      <c r="J26" s="255"/>
    </row>
    <row r="27" spans="1:32" ht="14" thickBot="1">
      <c r="A27" s="52"/>
      <c r="B27" s="88" t="s">
        <v>47</v>
      </c>
      <c r="C27" s="90">
        <f>ArbBidrag*C25</f>
        <v>76800</v>
      </c>
      <c r="D27" s="12"/>
      <c r="F27" s="251"/>
      <c r="G27" s="252"/>
      <c r="H27" s="253"/>
      <c r="I27" s="91" t="s">
        <v>48</v>
      </c>
      <c r="J27" s="92" t="s">
        <v>49</v>
      </c>
      <c r="K27" s="93"/>
      <c r="L27" s="94"/>
    </row>
    <row r="28" spans="1:32" ht="16">
      <c r="A28" s="52"/>
      <c r="B28" s="45" t="s">
        <v>50</v>
      </c>
      <c r="C28" s="17">
        <v>0</v>
      </c>
      <c r="D28" s="12"/>
      <c r="F28" s="95" t="s">
        <v>51</v>
      </c>
      <c r="G28" s="96"/>
      <c r="H28" s="97"/>
      <c r="I28" s="24">
        <f>C20+C23+C28</f>
        <v>960000</v>
      </c>
      <c r="J28" s="97">
        <f>I28/12</f>
        <v>80000</v>
      </c>
      <c r="K28" s="4"/>
      <c r="L28" s="4"/>
    </row>
    <row r="29" spans="1:32" ht="16">
      <c r="A29" s="52"/>
      <c r="B29" s="45" t="s">
        <v>52</v>
      </c>
      <c r="C29" s="90">
        <f>IF(C3&gt;RatepensionMax,RatepensionMax,C3)</f>
        <v>63100</v>
      </c>
      <c r="D29" s="68"/>
      <c r="F29" s="98" t="s">
        <v>53</v>
      </c>
      <c r="H29" s="59"/>
      <c r="I29" s="29">
        <f>C22</f>
        <v>0</v>
      </c>
      <c r="J29" s="59">
        <f>I29/12</f>
        <v>0</v>
      </c>
      <c r="K29" s="4"/>
      <c r="L29" s="4"/>
    </row>
    <row r="30" spans="1:32" ht="17" thickBot="1">
      <c r="A30" s="52"/>
      <c r="B30" s="45" t="s">
        <v>54</v>
      </c>
      <c r="C30" s="90">
        <f>+C4</f>
        <v>172769.64031155338</v>
      </c>
      <c r="D30" s="99"/>
      <c r="F30" s="98" t="s">
        <v>55</v>
      </c>
      <c r="H30" s="59"/>
      <c r="I30" s="29">
        <f>J23</f>
        <v>281178.27720202343</v>
      </c>
      <c r="J30" s="59">
        <f>I30/12</f>
        <v>23431.523100168619</v>
      </c>
      <c r="K30" s="100"/>
      <c r="L30" s="4"/>
    </row>
    <row r="31" spans="1:32" ht="17" thickBot="1">
      <c r="A31" s="52"/>
      <c r="B31" s="86" t="s">
        <v>56</v>
      </c>
      <c r="C31" s="101">
        <f>C25-C27+C28-C29-C30</f>
        <v>647330.35968844662</v>
      </c>
      <c r="F31" s="102" t="s">
        <v>46</v>
      </c>
      <c r="G31" s="79"/>
      <c r="H31" s="103"/>
      <c r="I31" s="104">
        <f>I28-I29-I30</f>
        <v>678821.72279797657</v>
      </c>
      <c r="J31" s="105">
        <f>I31/12</f>
        <v>56568.476899831381</v>
      </c>
      <c r="K31" s="106"/>
      <c r="L31" s="106"/>
      <c r="Z31" s="4"/>
    </row>
    <row r="32" spans="1:32" ht="14" thickTop="1">
      <c r="A32" s="52"/>
      <c r="B32" s="45"/>
      <c r="C32" s="16"/>
      <c r="Z32" s="4"/>
    </row>
    <row r="33" spans="1:27">
      <c r="B33" s="45" t="s">
        <v>57</v>
      </c>
      <c r="C33" s="17">
        <v>0</v>
      </c>
      <c r="H33" s="107"/>
    </row>
    <row r="34" spans="1:27" ht="14" thickBot="1">
      <c r="B34" s="108" t="s">
        <v>58</v>
      </c>
      <c r="C34" s="17">
        <v>0</v>
      </c>
      <c r="D34" s="12"/>
    </row>
    <row r="35" spans="1:27" ht="15" thickBot="1">
      <c r="B35" s="86" t="s">
        <v>59</v>
      </c>
      <c r="C35" s="101">
        <f>+C33-C34</f>
        <v>0</v>
      </c>
      <c r="D35" s="68"/>
      <c r="F35" s="4" t="s">
        <v>157</v>
      </c>
      <c r="I35" s="4">
        <f>'Skat før'!J23</f>
        <v>352854.72400000005</v>
      </c>
    </row>
    <row r="36" spans="1:27" ht="14" thickTop="1">
      <c r="B36" s="88"/>
      <c r="C36" s="109"/>
      <c r="D36" s="9"/>
      <c r="F36" s="111" t="s">
        <v>158</v>
      </c>
      <c r="I36" s="4">
        <f>J23</f>
        <v>281178.27720202343</v>
      </c>
    </row>
    <row r="37" spans="1:27" s="67" customFormat="1" ht="16">
      <c r="A37" s="66"/>
      <c r="B37" s="69" t="s">
        <v>60</v>
      </c>
      <c r="C37" s="90">
        <f>MIN(+($C$25+$C$22*3)*BFradragProc,BFradragMax)</f>
        <v>55600</v>
      </c>
      <c r="D37" s="110"/>
      <c r="E37" s="111"/>
      <c r="F37" s="4" t="s">
        <v>159</v>
      </c>
      <c r="H37" s="111"/>
      <c r="I37" s="4">
        <f>I35-I36</f>
        <v>71676.44679797662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>
      <c r="B38" s="69" t="s">
        <v>61</v>
      </c>
      <c r="C38" s="90">
        <f>MAX(0,MIN(+($C$25+$C$22*3-Jfradraggranse)*Jfradragproc,JfradragMax))</f>
        <v>2900</v>
      </c>
      <c r="D38" s="5"/>
      <c r="F38" s="4" t="s">
        <v>160</v>
      </c>
      <c r="I38" s="4">
        <f>'Tom salg mangler (80%)'!D2</f>
        <v>114669.64031155339</v>
      </c>
    </row>
    <row r="39" spans="1:27" ht="14.25" customHeight="1">
      <c r="B39" s="69" t="s">
        <v>62</v>
      </c>
      <c r="C39" s="90">
        <f>IF(C5&lt;=52,MIN(+(C3+C4+C22*3)*EPENfradragProc,EPENfradragMax),MIN(+(C3+C4+C22*3)*EPENSeniorProc,EPENSeniorMax))</f>
        <v>26816</v>
      </c>
      <c r="F39" s="4" t="s">
        <v>161</v>
      </c>
      <c r="I39" s="4">
        <f>I38-I37</f>
        <v>42993.193513576771</v>
      </c>
      <c r="J39" s="239">
        <f>I39/12</f>
        <v>3582.7661261313974</v>
      </c>
    </row>
    <row r="40" spans="1:27">
      <c r="B40" s="69" t="s">
        <v>63</v>
      </c>
      <c r="C40" s="90">
        <f>IF(C7&gt;FagforeningMax,FagforeningMax,C7)+C8</f>
        <v>0</v>
      </c>
    </row>
    <row r="41" spans="1:27">
      <c r="B41" s="69" t="s">
        <v>64</v>
      </c>
      <c r="C41" s="90">
        <f>+$H$56</f>
        <v>0</v>
      </c>
    </row>
    <row r="42" spans="1:27" ht="14" thickBot="1">
      <c r="B42" s="69" t="s">
        <v>65</v>
      </c>
      <c r="C42" s="17">
        <v>0</v>
      </c>
    </row>
    <row r="43" spans="1:27" ht="15" thickBot="1">
      <c r="B43" s="86" t="s">
        <v>66</v>
      </c>
      <c r="C43" s="101">
        <f>SUM(C37:C42)</f>
        <v>85316</v>
      </c>
    </row>
    <row r="44" spans="1:27" ht="15" thickTop="1" thickBot="1">
      <c r="B44" s="112"/>
      <c r="C44" s="113"/>
    </row>
    <row r="45" spans="1:27" ht="17" thickBot="1">
      <c r="B45" s="114" t="s">
        <v>67</v>
      </c>
      <c r="C45" s="115">
        <f>+C31+C35-C43</f>
        <v>562014.35968844662</v>
      </c>
    </row>
    <row r="49" spans="1:40" ht="14" thickBot="1"/>
    <row r="50" spans="1:40" ht="14" thickBot="1">
      <c r="B50" s="116" t="s">
        <v>68</v>
      </c>
      <c r="D50" s="117"/>
    </row>
    <row r="51" spans="1:40" ht="14" thickBot="1">
      <c r="D51" s="117"/>
    </row>
    <row r="52" spans="1:40" ht="14" thickBot="1">
      <c r="B52" s="118" t="s">
        <v>69</v>
      </c>
      <c r="D52" s="117"/>
    </row>
    <row r="53" spans="1:40">
      <c r="B53" s="13"/>
      <c r="C53" s="119" t="s">
        <v>70</v>
      </c>
      <c r="D53" s="119" t="s">
        <v>71</v>
      </c>
      <c r="E53" s="120" t="s">
        <v>72</v>
      </c>
      <c r="F53" s="121" t="s">
        <v>73</v>
      </c>
      <c r="G53" s="121" t="s">
        <v>74</v>
      </c>
      <c r="H53" s="122" t="s">
        <v>75</v>
      </c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4"/>
      <c r="AA53" s="4" t="s">
        <v>76</v>
      </c>
    </row>
    <row r="54" spans="1:40">
      <c r="B54" s="123" t="s">
        <v>77</v>
      </c>
      <c r="C54" s="124">
        <f>BeFradragHojSats</f>
        <v>2.23</v>
      </c>
      <c r="D54" s="125">
        <f>C10</f>
        <v>0</v>
      </c>
      <c r="E54" s="126">
        <f>C9</f>
        <v>0</v>
      </c>
      <c r="F54" s="125">
        <f>BeFradragKmMin</f>
        <v>24</v>
      </c>
      <c r="G54" s="127">
        <f>IF(E54&gt;F54,MIN(E54,BeFradragKmMax)-F54,0)</f>
        <v>0</v>
      </c>
      <c r="H54" s="128">
        <f>+(D54*G54)*C54</f>
        <v>0</v>
      </c>
      <c r="I54" s="4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4"/>
    </row>
    <row r="55" spans="1:40">
      <c r="B55" s="123" t="s">
        <v>78</v>
      </c>
      <c r="C55" s="124">
        <f>BeFradragLavSats</f>
        <v>1.1200000000000001</v>
      </c>
      <c r="D55" s="125">
        <f>C10</f>
        <v>0</v>
      </c>
      <c r="E55" s="126">
        <f>MAX(E54-BeFradragKmMax,0)</f>
        <v>0</v>
      </c>
      <c r="F55" s="125"/>
      <c r="G55" s="127">
        <f>MAX(E55,0)</f>
        <v>0</v>
      </c>
      <c r="H55" s="128">
        <f>+(D55*G55)*C55</f>
        <v>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>
      <c r="B56" s="129" t="s">
        <v>79</v>
      </c>
      <c r="C56" s="124"/>
      <c r="D56" s="130"/>
      <c r="E56" s="130"/>
      <c r="F56" s="125"/>
      <c r="G56" s="130"/>
      <c r="H56" s="128">
        <f>SUM(H54:H55)</f>
        <v>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>
      <c r="B57" s="123"/>
      <c r="C57" s="124"/>
      <c r="D57" s="130"/>
      <c r="E57" s="130"/>
      <c r="F57" s="125"/>
      <c r="G57" s="130"/>
      <c r="H57" s="128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1:40">
      <c r="B58" s="129" t="s">
        <v>80</v>
      </c>
      <c r="C58" s="124"/>
      <c r="D58" s="130"/>
      <c r="E58" s="130"/>
      <c r="F58" s="125"/>
      <c r="G58" s="130"/>
      <c r="H58" s="128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s="137" customFormat="1" ht="17" thickBot="1">
      <c r="A59" s="131"/>
      <c r="B59" s="132"/>
      <c r="C59" s="133"/>
      <c r="D59" s="134"/>
      <c r="E59" s="134"/>
      <c r="F59" s="135"/>
      <c r="G59" s="134"/>
      <c r="H59" s="136"/>
      <c r="I59" s="5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</row>
    <row r="60" spans="1:40" s="137" customFormat="1" ht="16">
      <c r="A60" s="131"/>
      <c r="B60" s="5"/>
      <c r="C60" s="139"/>
      <c r="D60" s="140"/>
      <c r="E60" s="4"/>
      <c r="F60" s="140"/>
      <c r="G60" s="4"/>
      <c r="H60" s="4"/>
      <c r="I60" s="5"/>
      <c r="J60" s="82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</row>
    <row r="61" spans="1:40" ht="14" thickBot="1">
      <c r="C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1:40">
      <c r="B62" s="141" t="s">
        <v>81</v>
      </c>
      <c r="C62" s="142" t="s">
        <v>82</v>
      </c>
      <c r="D62" s="142" t="s">
        <v>83</v>
      </c>
      <c r="E62" s="142" t="s">
        <v>84</v>
      </c>
      <c r="F62" s="143" t="s">
        <v>85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spans="1:40">
      <c r="B63" s="123" t="s">
        <v>36</v>
      </c>
      <c r="C63" s="144">
        <f>EjVSkatMin</f>
        <v>5.1000000000000004E-3</v>
      </c>
      <c r="D63" s="144">
        <f>EjVSkatMax-C63</f>
        <v>8.8999999999999999E-3</v>
      </c>
      <c r="E63" s="145">
        <f>C16</f>
        <v>0</v>
      </c>
      <c r="F63" s="146">
        <f>IF(E63&lt;Skattesatser!H14,C63*E63*Forsigtighed,C63*E63*Forsigtighed+(E63-Skattesatser!H14)*D63*Forsigtighed)</f>
        <v>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spans="1:40" ht="14" thickBot="1">
      <c r="B64" s="147" t="s">
        <v>38</v>
      </c>
      <c r="C64" s="148">
        <f>C15</f>
        <v>6.7000000000000002E-3</v>
      </c>
      <c r="D64" s="148"/>
      <c r="E64" s="149">
        <f>C17</f>
        <v>0</v>
      </c>
      <c r="F64" s="150">
        <f>E64*C64*Forsigtighed</f>
        <v>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spans="1:40">
      <c r="C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spans="1:40" ht="14" thickBot="1">
      <c r="C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 ht="14" thickBot="1">
      <c r="B67" s="151" t="s">
        <v>86</v>
      </c>
      <c r="C67" s="118" t="s">
        <v>87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1:40">
      <c r="B68" s="152" t="s">
        <v>88</v>
      </c>
      <c r="C68" s="153">
        <f>+C31</f>
        <v>647330.35968844662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>
      <c r="B69" s="154" t="s">
        <v>89</v>
      </c>
      <c r="C69" s="155">
        <f>MAX(C35+C31,C31)</f>
        <v>647330.35968844662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1:40">
      <c r="B70" s="154" t="s">
        <v>90</v>
      </c>
      <c r="C70" s="155">
        <f>C68+C72</f>
        <v>647330.35968844662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0">
      <c r="B71" s="154" t="s">
        <v>91</v>
      </c>
      <c r="C71" s="155">
        <f>MAX(C35,0)</f>
        <v>0</v>
      </c>
      <c r="I71" s="156"/>
    </row>
    <row r="72" spans="1:40">
      <c r="B72" s="154" t="s">
        <v>92</v>
      </c>
      <c r="C72" s="155">
        <f>IF((C71+D71)&gt;KItilTopskatEnlig,C71+D71-KItilTopskatEnlig,0)</f>
        <v>0</v>
      </c>
    </row>
    <row r="73" spans="1:40">
      <c r="B73" s="123" t="s">
        <v>93</v>
      </c>
      <c r="C73" s="157">
        <f>SUM(G5:G8)</f>
        <v>0.51390000000000002</v>
      </c>
    </row>
    <row r="74" spans="1:40" s="4" customFormat="1">
      <c r="A74" s="1"/>
      <c r="B74" s="154" t="s">
        <v>94</v>
      </c>
      <c r="C74" s="155">
        <f>IF(C70&gt;TopSkatGranse,C70-TopSkatGranse,0)</f>
        <v>35530.359688446624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40" s="4" customFormat="1">
      <c r="A75" s="1"/>
      <c r="B75" s="158" t="s">
        <v>95</v>
      </c>
      <c r="C75" s="155">
        <f>IF(C68&gt;TopSkatGranse,C68-TopSkatGranse,0)</f>
        <v>35530.359688446624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s="4" customFormat="1" ht="14" thickBot="1">
      <c r="A76" s="1"/>
      <c r="B76" s="159" t="s">
        <v>96</v>
      </c>
      <c r="C76" s="160">
        <f>C74-C75</f>
        <v>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102" spans="1:40" s="4" customFormat="1">
      <c r="A102" s="1"/>
      <c r="B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s="4" customFormat="1">
      <c r="A103" s="1"/>
      <c r="B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s="4" customFormat="1">
      <c r="A104" s="1"/>
      <c r="B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s="4" customFormat="1">
      <c r="A105" s="1"/>
      <c r="B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s="4" customFormat="1">
      <c r="A106" s="1"/>
      <c r="B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s="4" customFormat="1">
      <c r="A107" s="1"/>
      <c r="B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s="4" customFormat="1">
      <c r="A108" s="1"/>
      <c r="B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s="4" customFormat="1">
      <c r="A109" s="1"/>
      <c r="B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s="4" customFormat="1">
      <c r="A110" s="1"/>
      <c r="B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s="4" customFormat="1">
      <c r="A111" s="1"/>
      <c r="B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s="4" customFormat="1">
      <c r="A112" s="1"/>
      <c r="B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s="4" customFormat="1">
      <c r="A113" s="1"/>
      <c r="B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s="4" customFormat="1">
      <c r="A114" s="1"/>
      <c r="B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s="4" customFormat="1">
      <c r="A115" s="1"/>
      <c r="B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s="4" customFormat="1">
      <c r="A116" s="1"/>
      <c r="B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1:40" s="4" customFormat="1">
      <c r="A117" s="1"/>
      <c r="B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1:40" s="4" customFormat="1">
      <c r="A118" s="1"/>
      <c r="B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s="4" customFormat="1">
      <c r="A119" s="1"/>
      <c r="B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1:40" s="4" customFormat="1">
      <c r="A120" s="1"/>
      <c r="B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1:40" s="4" customFormat="1">
      <c r="A121" s="1"/>
      <c r="B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1:40" s="4" customFormat="1">
      <c r="A122" s="1"/>
      <c r="B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1:40" s="4" customFormat="1">
      <c r="A123" s="1"/>
      <c r="B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1:40" s="4" customFormat="1">
      <c r="A124" s="1"/>
      <c r="B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1:40" s="4" customFormat="1">
      <c r="A125" s="1"/>
      <c r="B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1:40" s="4" customFormat="1">
      <c r="A126" s="1"/>
      <c r="B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1:40" s="4" customFormat="1">
      <c r="A127" s="1"/>
      <c r="B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1:40" s="4" customFormat="1">
      <c r="A128" s="1"/>
      <c r="B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1:40" s="4" customFormat="1">
      <c r="A129" s="1"/>
      <c r="B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1:40" s="4" customFormat="1">
      <c r="A130" s="1"/>
      <c r="B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s="4" customFormat="1">
      <c r="A131" s="1"/>
      <c r="B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1:40" s="4" customFormat="1">
      <c r="A132" s="1"/>
      <c r="B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 s="4" customFormat="1">
      <c r="A133" s="1"/>
      <c r="B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s="4" customFormat="1">
      <c r="A134" s="1"/>
      <c r="B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1:40" s="4" customFormat="1">
      <c r="A135" s="1"/>
      <c r="B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s="4" customFormat="1">
      <c r="A136" s="1"/>
      <c r="B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1:40" s="4" customFormat="1">
      <c r="A137" s="1"/>
      <c r="B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1:40" s="4" customFormat="1">
      <c r="A138" s="1"/>
      <c r="B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s="4" customFormat="1">
      <c r="A139" s="1"/>
      <c r="B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1:40" s="4" customFormat="1">
      <c r="A140" s="1"/>
      <c r="B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1:40" s="4" customFormat="1">
      <c r="A141" s="1"/>
      <c r="B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1:40" s="4" customFormat="1">
      <c r="A142" s="1"/>
      <c r="B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1:40" s="4" customFormat="1">
      <c r="A143" s="1"/>
      <c r="B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1:40" s="4" customFormat="1">
      <c r="A144" s="1"/>
      <c r="B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1:40" s="4" customFormat="1">
      <c r="A145" s="1"/>
      <c r="B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1:40" s="4" customFormat="1">
      <c r="A146" s="1"/>
      <c r="B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1:40" s="4" customFormat="1">
      <c r="A147" s="1"/>
      <c r="B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1:40" s="4" customFormat="1">
      <c r="A148" s="1"/>
      <c r="B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1:40" s="4" customFormat="1">
      <c r="A149" s="1"/>
      <c r="B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1:40" s="4" customFormat="1">
      <c r="A150" s="1"/>
      <c r="B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1:40" s="4" customFormat="1">
      <c r="A151" s="1"/>
      <c r="B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1:40" s="4" customFormat="1">
      <c r="A152" s="1"/>
      <c r="B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1:40" s="4" customFormat="1">
      <c r="A153" s="1"/>
      <c r="B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1:40" s="4" customFormat="1">
      <c r="A154" s="1"/>
      <c r="B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1:40" s="4" customFormat="1">
      <c r="A155" s="1"/>
      <c r="B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1:40" s="4" customFormat="1">
      <c r="A156" s="1"/>
      <c r="B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1:40" s="4" customFormat="1">
      <c r="A157" s="1"/>
      <c r="B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1:40" s="4" customFormat="1">
      <c r="A158" s="1"/>
      <c r="B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1:40" s="4" customFormat="1">
      <c r="A159" s="1"/>
      <c r="B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1:40" s="4" customFormat="1">
      <c r="A160" s="1"/>
      <c r="B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1:40" s="4" customFormat="1">
      <c r="A161" s="1"/>
      <c r="B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1:40" s="4" customFormat="1">
      <c r="A162" s="1"/>
      <c r="B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1:40" s="4" customFormat="1">
      <c r="A163" s="1"/>
      <c r="B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1:40" s="4" customFormat="1">
      <c r="A164" s="1"/>
      <c r="B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1:40" s="4" customFormat="1">
      <c r="A165" s="1"/>
      <c r="B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1:40" s="4" customFormat="1">
      <c r="A166" s="1"/>
      <c r="B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1:40" s="4" customFormat="1">
      <c r="A167" s="1"/>
      <c r="B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1:40" s="4" customFormat="1">
      <c r="A168" s="1"/>
      <c r="B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1:40" s="4" customFormat="1">
      <c r="A169" s="1"/>
      <c r="B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1:40" s="4" customFormat="1">
      <c r="A170" s="1"/>
      <c r="B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 s="4" customFormat="1">
      <c r="A171" s="1"/>
      <c r="B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 s="4" customFormat="1">
      <c r="A172" s="1"/>
      <c r="B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 s="4" customFormat="1">
      <c r="A173" s="1"/>
      <c r="B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 s="4" customFormat="1">
      <c r="A174" s="1"/>
      <c r="B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 s="4" customFormat="1">
      <c r="A175" s="1"/>
      <c r="B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 s="4" customFormat="1">
      <c r="A176" s="1"/>
      <c r="B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1:40" s="4" customFormat="1">
      <c r="A177" s="1"/>
      <c r="B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1:40" s="4" customFormat="1">
      <c r="A178" s="1"/>
      <c r="B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1:40" s="4" customFormat="1">
      <c r="A179" s="1"/>
      <c r="B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1:40" s="4" customFormat="1">
      <c r="A180" s="1"/>
      <c r="B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1:40" s="4" customFormat="1">
      <c r="A181" s="1"/>
      <c r="B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1:40" s="4" customFormat="1">
      <c r="A182" s="1"/>
      <c r="B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1:40" s="4" customFormat="1">
      <c r="A183" s="1"/>
      <c r="B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1:40" s="4" customFormat="1">
      <c r="A184" s="1"/>
      <c r="B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1:40" s="4" customFormat="1">
      <c r="A185" s="1"/>
      <c r="B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1:40" s="4" customFormat="1">
      <c r="A186" s="1"/>
      <c r="B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1:40" s="4" customFormat="1">
      <c r="A187" s="1"/>
      <c r="B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1:40" s="4" customFormat="1">
      <c r="A188" s="1"/>
      <c r="B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1:40" s="4" customFormat="1">
      <c r="A189" s="1"/>
      <c r="B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1:40" s="4" customFormat="1">
      <c r="A190" s="1"/>
      <c r="B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1:40" s="4" customFormat="1">
      <c r="A191" s="1"/>
      <c r="B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1:40" s="4" customFormat="1">
      <c r="A192" s="1"/>
      <c r="B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1:40" s="4" customFormat="1">
      <c r="A193" s="1"/>
      <c r="B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1:40" s="4" customFormat="1">
      <c r="A194" s="1"/>
      <c r="B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1:40" s="4" customFormat="1">
      <c r="A195" s="1"/>
      <c r="B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1:40" s="4" customFormat="1">
      <c r="A196" s="1"/>
      <c r="B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1:40" s="4" customFormat="1">
      <c r="A197" s="1"/>
      <c r="B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1:40" s="4" customFormat="1">
      <c r="A198" s="1"/>
      <c r="B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1:40" s="4" customFormat="1">
      <c r="A199" s="1"/>
      <c r="B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1:40" s="4" customFormat="1">
      <c r="A200" s="1"/>
      <c r="B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1:40" s="4" customFormat="1">
      <c r="A201" s="1"/>
      <c r="B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1:40" s="4" customFormat="1">
      <c r="A202" s="1"/>
      <c r="B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1:40" s="4" customFormat="1">
      <c r="A203" s="1"/>
      <c r="B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1:40" s="4" customFormat="1">
      <c r="A204" s="1"/>
      <c r="B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1:40" s="4" customFormat="1">
      <c r="A205" s="1"/>
      <c r="B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1:40" s="4" customFormat="1">
      <c r="A206" s="1"/>
      <c r="B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1:40" s="4" customFormat="1">
      <c r="A207" s="1"/>
      <c r="B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1:40" s="4" customFormat="1">
      <c r="A208" s="1"/>
      <c r="B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1:40" s="4" customFormat="1">
      <c r="A209" s="1"/>
      <c r="B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1:40" s="4" customFormat="1">
      <c r="A210" s="1"/>
      <c r="B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1:40" s="4" customFormat="1">
      <c r="A211" s="1"/>
      <c r="B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1:40" s="4" customFormat="1">
      <c r="A212" s="1"/>
      <c r="B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1:40" s="4" customFormat="1">
      <c r="A213" s="1"/>
      <c r="B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1:40" s="4" customFormat="1">
      <c r="A214" s="1"/>
      <c r="B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1:40" s="4" customFormat="1">
      <c r="A215" s="1"/>
      <c r="B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1:40" s="4" customFormat="1">
      <c r="A216" s="1"/>
      <c r="B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1:40" s="4" customFormat="1">
      <c r="A217" s="1"/>
      <c r="B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1:40" s="4" customFormat="1">
      <c r="A218" s="1"/>
      <c r="B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1:40" s="4" customFormat="1">
      <c r="A219" s="1"/>
      <c r="B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1:40" s="4" customFormat="1">
      <c r="A220" s="1"/>
      <c r="B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1:40" s="4" customFormat="1">
      <c r="A221" s="1"/>
      <c r="B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1:40" s="4" customFormat="1">
      <c r="A222" s="1"/>
      <c r="B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1:40" s="4" customFormat="1">
      <c r="A223" s="1"/>
      <c r="B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1:40" s="4" customFormat="1">
      <c r="A224" s="1"/>
      <c r="B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1:40" s="4" customFormat="1">
      <c r="A225" s="1"/>
      <c r="B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1:40" s="4" customFormat="1">
      <c r="A226" s="1"/>
      <c r="B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1:40" s="4" customFormat="1">
      <c r="A227" s="1"/>
      <c r="B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1:40" s="4" customFormat="1">
      <c r="A228" s="1"/>
      <c r="B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1:40" s="4" customFormat="1">
      <c r="A229" s="1"/>
      <c r="B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1:40" s="4" customFormat="1">
      <c r="A230" s="1"/>
      <c r="B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1:40" s="4" customFormat="1">
      <c r="A231" s="1"/>
      <c r="B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1:40" s="4" customFormat="1">
      <c r="A232" s="1"/>
      <c r="B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1:40" s="4" customFormat="1">
      <c r="A233" s="1"/>
      <c r="B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1:40" s="4" customFormat="1">
      <c r="A234" s="1"/>
      <c r="B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1:40" s="4" customFormat="1">
      <c r="A235" s="1"/>
      <c r="B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1:40" s="4" customFormat="1">
      <c r="A236" s="1"/>
      <c r="B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1:40" s="4" customFormat="1">
      <c r="A237" s="1"/>
      <c r="B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1:40" s="4" customFormat="1">
      <c r="A238" s="1"/>
      <c r="B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1:40" s="4" customFormat="1">
      <c r="A239" s="1"/>
      <c r="B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1:40" s="4" customFormat="1">
      <c r="A240" s="1"/>
      <c r="B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1:40" s="4" customFormat="1">
      <c r="A241" s="1"/>
      <c r="B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1:40" s="4" customFormat="1">
      <c r="A242" s="1"/>
      <c r="B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1:40" s="4" customFormat="1">
      <c r="A243" s="1"/>
      <c r="B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1:40" s="4" customFormat="1">
      <c r="A244" s="1"/>
      <c r="B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1:40" s="4" customFormat="1">
      <c r="A245" s="1"/>
      <c r="B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1:40" s="4" customFormat="1">
      <c r="A246" s="1"/>
      <c r="B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1:40" s="4" customFormat="1">
      <c r="A247" s="1"/>
      <c r="B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1:40" s="4" customFormat="1">
      <c r="A248" s="1"/>
      <c r="B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1:40" s="4" customFormat="1">
      <c r="A249" s="1"/>
      <c r="B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1:40" s="4" customFormat="1">
      <c r="A250" s="1"/>
      <c r="B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1:40" s="4" customFormat="1">
      <c r="A251" s="1"/>
      <c r="B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1:40" s="4" customFormat="1">
      <c r="A252" s="1"/>
      <c r="B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1:40" s="4" customFormat="1">
      <c r="A253" s="1"/>
      <c r="B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1:40" s="4" customFormat="1">
      <c r="A254" s="1"/>
      <c r="B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1:40" s="4" customFormat="1">
      <c r="A255" s="1"/>
      <c r="B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1:40" s="4" customFormat="1">
      <c r="A256" s="1"/>
      <c r="B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1:40" s="4" customFormat="1">
      <c r="A257" s="1"/>
      <c r="B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1:40" s="4" customFormat="1">
      <c r="A258" s="1"/>
      <c r="B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1:40" s="4" customFormat="1">
      <c r="A259" s="1"/>
      <c r="B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1:40" s="4" customFormat="1">
      <c r="A260" s="1"/>
      <c r="B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1:40" s="4" customFormat="1">
      <c r="A261" s="1"/>
      <c r="B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1:40" s="4" customFormat="1">
      <c r="A262" s="1"/>
      <c r="B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1:40" s="4" customFormat="1">
      <c r="A263" s="1"/>
      <c r="B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1:40" s="4" customFormat="1">
      <c r="A264" s="1"/>
      <c r="B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1:40" s="4" customFormat="1">
      <c r="A265" s="1"/>
      <c r="B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1:40" s="4" customFormat="1">
      <c r="A266" s="1"/>
      <c r="B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1:40" s="4" customFormat="1">
      <c r="A267" s="1"/>
      <c r="B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1:40" s="4" customFormat="1">
      <c r="A268" s="1"/>
      <c r="B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1:40" s="4" customFormat="1">
      <c r="A269" s="1"/>
      <c r="B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1:40" s="4" customFormat="1">
      <c r="A270" s="1"/>
      <c r="B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1:40" s="4" customFormat="1">
      <c r="A271" s="1"/>
      <c r="B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1:40" s="4" customFormat="1">
      <c r="A272" s="1"/>
      <c r="B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1:40" s="4" customFormat="1">
      <c r="A273" s="1"/>
      <c r="B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1:40" s="4" customFormat="1">
      <c r="A274" s="1"/>
      <c r="B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1:40" s="4" customFormat="1">
      <c r="A275" s="1"/>
      <c r="B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1:40" s="4" customFormat="1">
      <c r="A276" s="1"/>
      <c r="B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1:40" s="4" customFormat="1">
      <c r="A277" s="1"/>
      <c r="B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1:40" s="4" customFormat="1">
      <c r="A278" s="1"/>
      <c r="B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1:40" s="4" customFormat="1">
      <c r="A279" s="1"/>
      <c r="B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1:40" s="4" customFormat="1">
      <c r="A280" s="1"/>
      <c r="B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1:40" s="4" customFormat="1">
      <c r="A281" s="1"/>
      <c r="B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1:40" s="4" customFormat="1">
      <c r="A282" s="1"/>
      <c r="B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1:40" s="4" customFormat="1">
      <c r="A283" s="1"/>
      <c r="B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1:40" s="4" customFormat="1">
      <c r="A284" s="1"/>
      <c r="B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1:40" s="4" customFormat="1">
      <c r="A285" s="1"/>
      <c r="B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1:40" s="4" customFormat="1">
      <c r="A286" s="1"/>
      <c r="B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1:40" s="4" customFormat="1">
      <c r="A287" s="1"/>
      <c r="B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1:40" s="4" customFormat="1">
      <c r="A288" s="1"/>
      <c r="B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1:40" s="4" customFormat="1">
      <c r="A289" s="1"/>
      <c r="B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1:40" s="4" customFormat="1">
      <c r="A290" s="1"/>
      <c r="B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1:40" s="4" customFormat="1">
      <c r="A291" s="1"/>
      <c r="B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1:40" s="4" customFormat="1">
      <c r="A292" s="1"/>
      <c r="B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1:40" s="4" customFormat="1">
      <c r="A293" s="1"/>
      <c r="B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1:40" s="4" customFormat="1">
      <c r="A294" s="1"/>
      <c r="B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1:40" s="4" customFormat="1">
      <c r="A295" s="1"/>
      <c r="B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1:40" s="4" customFormat="1">
      <c r="A296" s="1"/>
      <c r="B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1:40" s="4" customFormat="1">
      <c r="A297" s="1"/>
      <c r="B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1:40" s="4" customFormat="1">
      <c r="A298" s="1"/>
      <c r="B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1:40" s="4" customFormat="1">
      <c r="A299" s="1"/>
      <c r="B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1:40" s="4" customFormat="1">
      <c r="A300" s="1"/>
      <c r="B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1:40" s="4" customFormat="1">
      <c r="A301" s="1"/>
      <c r="B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1:40" s="4" customFormat="1">
      <c r="A302" s="1"/>
      <c r="B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1:40" s="4" customFormat="1">
      <c r="A303" s="1"/>
      <c r="B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1:40" s="4" customFormat="1">
      <c r="A304" s="1"/>
      <c r="B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1:40" s="4" customFormat="1">
      <c r="A305" s="1"/>
      <c r="B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1:40" s="4" customFormat="1">
      <c r="A306" s="1"/>
      <c r="B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1:40" s="4" customFormat="1">
      <c r="A307" s="1"/>
      <c r="B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1:40" s="4" customFormat="1">
      <c r="A308" s="1"/>
      <c r="B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1:40" s="4" customFormat="1">
      <c r="A309" s="1"/>
      <c r="B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1:40" s="4" customFormat="1">
      <c r="A310" s="1"/>
      <c r="B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1:40" s="4" customFormat="1">
      <c r="A311" s="1"/>
      <c r="B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1:40" s="4" customFormat="1">
      <c r="A312" s="1"/>
      <c r="B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1:40" s="4" customFormat="1">
      <c r="A313" s="1"/>
      <c r="B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1:40" s="4" customFormat="1">
      <c r="A314" s="1"/>
      <c r="B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1:40" s="4" customFormat="1">
      <c r="A315" s="1"/>
      <c r="B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1:40" s="4" customFormat="1">
      <c r="A316" s="1"/>
      <c r="B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1:40" s="4" customFormat="1">
      <c r="A317" s="1"/>
      <c r="B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1:40" s="4" customFormat="1">
      <c r="A318" s="1"/>
      <c r="B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1:40" s="4" customFormat="1">
      <c r="A319" s="1"/>
      <c r="B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1:40" s="4" customFormat="1">
      <c r="A320" s="1"/>
      <c r="B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1:40" s="4" customFormat="1">
      <c r="A321" s="1"/>
      <c r="B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1:40" s="4" customFormat="1">
      <c r="A322" s="1"/>
      <c r="B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1:40" s="4" customFormat="1">
      <c r="A323" s="1"/>
      <c r="B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1:40" s="4" customFormat="1">
      <c r="A324" s="1"/>
      <c r="B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1:40" s="4" customFormat="1">
      <c r="A325" s="1"/>
      <c r="B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1:40" s="4" customFormat="1">
      <c r="A326" s="1"/>
      <c r="B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1:40" s="4" customFormat="1">
      <c r="A327" s="1"/>
      <c r="B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1:40" s="4" customFormat="1">
      <c r="A328" s="1"/>
      <c r="B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1:40" s="4" customFormat="1">
      <c r="A329" s="1"/>
      <c r="B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1:40" s="4" customFormat="1">
      <c r="A330" s="1"/>
      <c r="B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1:40" s="4" customFormat="1">
      <c r="A331" s="1"/>
      <c r="B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1:40" s="4" customFormat="1">
      <c r="A332" s="1"/>
      <c r="B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1:40" s="4" customFormat="1">
      <c r="A333" s="1"/>
      <c r="B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1:40" s="4" customFormat="1">
      <c r="A334" s="1"/>
      <c r="B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1:40" s="4" customFormat="1">
      <c r="A335" s="1"/>
      <c r="B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1:40" s="4" customFormat="1">
      <c r="A336" s="1"/>
      <c r="B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1:40" s="4" customFormat="1">
      <c r="A337" s="1"/>
      <c r="B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1:40" s="4" customFormat="1">
      <c r="A338" s="1"/>
      <c r="B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1:40" s="4" customFormat="1">
      <c r="A339" s="1"/>
      <c r="B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1:40" s="4" customFormat="1">
      <c r="A340" s="1"/>
      <c r="B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1:40" s="4" customFormat="1">
      <c r="A341" s="1"/>
      <c r="B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1:40" s="4" customFormat="1">
      <c r="A342" s="1"/>
      <c r="B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1:40" s="4" customFormat="1">
      <c r="A343" s="1"/>
      <c r="B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1:40" s="4" customFormat="1">
      <c r="A344" s="1"/>
      <c r="B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1:40" s="4" customFormat="1">
      <c r="A345" s="1"/>
      <c r="B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1:40" s="4" customFormat="1">
      <c r="A346" s="1"/>
      <c r="B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1:40" s="4" customFormat="1">
      <c r="A347" s="1"/>
      <c r="B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1:40" s="4" customFormat="1">
      <c r="A348" s="1"/>
      <c r="B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1:40" s="4" customFormat="1">
      <c r="A349" s="1"/>
      <c r="B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1:40" s="4" customFormat="1">
      <c r="A350" s="1"/>
      <c r="B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1:40" s="4" customFormat="1">
      <c r="A351" s="1"/>
      <c r="B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1:40" s="4" customFormat="1">
      <c r="A352" s="1"/>
      <c r="B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1:40" s="4" customFormat="1">
      <c r="A353" s="1"/>
      <c r="B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1:40" s="4" customFormat="1">
      <c r="A354" s="1"/>
      <c r="B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1:40" s="4" customFormat="1">
      <c r="A355" s="1"/>
      <c r="B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1:40" s="4" customFormat="1">
      <c r="A356" s="1"/>
      <c r="B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1:40" s="4" customFormat="1">
      <c r="A357" s="1"/>
      <c r="B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1:40" s="4" customFormat="1">
      <c r="A358" s="1"/>
      <c r="B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1:40" s="4" customFormat="1">
      <c r="A359" s="1"/>
      <c r="B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1:40" s="4" customFormat="1">
      <c r="A360" s="1"/>
      <c r="B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1:40" s="4" customFormat="1">
      <c r="A361" s="1"/>
      <c r="B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1:40" s="4" customFormat="1">
      <c r="A362" s="1"/>
      <c r="B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1:40" s="4" customFormat="1">
      <c r="A363" s="1"/>
      <c r="B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1:40" s="4" customFormat="1">
      <c r="A364" s="1"/>
      <c r="B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1:40" s="4" customFormat="1">
      <c r="A365" s="1"/>
      <c r="B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1:40" s="4" customFormat="1">
      <c r="A366" s="1"/>
      <c r="B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1:40" s="4" customFormat="1">
      <c r="A367" s="1"/>
      <c r="B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1:40" s="4" customFormat="1">
      <c r="A368" s="1"/>
      <c r="B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1:40" s="4" customFormat="1">
      <c r="A369" s="1"/>
      <c r="B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1:40" s="4" customFormat="1">
      <c r="A370" s="1"/>
      <c r="B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1:40" s="4" customFormat="1">
      <c r="A371" s="1"/>
      <c r="B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1:40" s="4" customFormat="1">
      <c r="A372" s="1"/>
      <c r="B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1:40" s="4" customFormat="1">
      <c r="A373" s="1"/>
      <c r="B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1:40" s="4" customFormat="1">
      <c r="A374" s="1"/>
      <c r="B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1:40" s="4" customFormat="1">
      <c r="A375" s="1"/>
      <c r="B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1:40" s="4" customFormat="1">
      <c r="A376" s="1"/>
      <c r="B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1:40" s="4" customFormat="1">
      <c r="A377" s="1"/>
      <c r="B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1:40" s="4" customFormat="1">
      <c r="A378" s="1"/>
      <c r="B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1:40" s="4" customFormat="1">
      <c r="A379" s="1"/>
      <c r="B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1:40" s="4" customFormat="1">
      <c r="A380" s="1"/>
      <c r="B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1:40" s="4" customFormat="1">
      <c r="A381" s="1"/>
      <c r="B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1:40" s="4" customFormat="1">
      <c r="A382" s="1"/>
      <c r="B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1:40" s="4" customFormat="1">
      <c r="A383" s="1"/>
      <c r="B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1:40" s="4" customFormat="1">
      <c r="A384" s="1"/>
      <c r="B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1:40" s="4" customFormat="1">
      <c r="A385" s="1"/>
      <c r="B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1:40" s="4" customFormat="1">
      <c r="A386" s="1"/>
      <c r="B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</sheetData>
  <mergeCells count="8">
    <mergeCell ref="F26:H27"/>
    <mergeCell ref="I26:J26"/>
    <mergeCell ref="I2:J2"/>
    <mergeCell ref="K2:L2"/>
    <mergeCell ref="I3:I4"/>
    <mergeCell ref="J3:J4"/>
    <mergeCell ref="K3:K4"/>
    <mergeCell ref="L3:L4"/>
  </mergeCells>
  <pageMargins left="0.74803149606299213" right="0.74803149606299213" top="0.98425196850393704" bottom="0.98425196850393704" header="0" footer="0"/>
  <pageSetup paperSize="9" scale="53" fitToHeight="2" orientation="landscape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B00B14-9BFB-7E42-A2C7-6FAF2B3B0235}">
          <x14:formula1>
            <xm:f>Skattesatser!$B$6:$B$103</xm:f>
          </x14:formula1>
          <xm:sqref>C12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E4EE-5E4B-9E48-B1E5-276D18ACB7FF}">
  <dimension ref="B2:J103"/>
  <sheetViews>
    <sheetView zoomScale="130" zoomScaleNormal="130" workbookViewId="0">
      <selection activeCell="H35" sqref="H35"/>
    </sheetView>
  </sheetViews>
  <sheetFormatPr baseColWidth="10" defaultColWidth="8.6640625" defaultRowHeight="16"/>
  <cols>
    <col min="1" max="1" width="8.6640625" style="5"/>
    <col min="2" max="2" width="16.1640625" style="5" bestFit="1" customWidth="1"/>
    <col min="3" max="3" width="11" style="5" customWidth="1"/>
    <col min="4" max="4" width="9" style="5"/>
    <col min="5" max="5" width="12.1640625" style="161" customWidth="1"/>
    <col min="6" max="6" width="9.1640625" style="5" customWidth="1"/>
    <col min="7" max="7" width="53.6640625" style="5" customWidth="1"/>
    <col min="8" max="8" width="20.1640625" style="5" customWidth="1"/>
    <col min="9" max="10" width="9.1640625" style="5" customWidth="1"/>
    <col min="11" max="16384" width="8.6640625" style="5"/>
  </cols>
  <sheetData>
    <row r="2" spans="2:10">
      <c r="G2" s="9"/>
    </row>
    <row r="3" spans="2:10" ht="27" customHeight="1">
      <c r="B3" s="265" t="s">
        <v>162</v>
      </c>
      <c r="C3" s="265"/>
      <c r="D3" s="265"/>
      <c r="E3" s="265"/>
      <c r="G3" s="152" t="s">
        <v>163</v>
      </c>
      <c r="H3" s="162">
        <v>0.08</v>
      </c>
    </row>
    <row r="4" spans="2:10">
      <c r="B4" s="163"/>
      <c r="G4" s="154" t="s">
        <v>164</v>
      </c>
      <c r="H4" s="164">
        <v>2.23</v>
      </c>
    </row>
    <row r="5" spans="2:10" ht="28">
      <c r="B5" s="165" t="s">
        <v>165</v>
      </c>
      <c r="C5" s="166" t="s">
        <v>166</v>
      </c>
      <c r="D5" s="166" t="s">
        <v>167</v>
      </c>
      <c r="E5" s="167" t="s">
        <v>168</v>
      </c>
      <c r="G5" s="154" t="s">
        <v>169</v>
      </c>
      <c r="H5" s="168">
        <v>24</v>
      </c>
    </row>
    <row r="6" spans="2:10" ht="17.25" customHeight="1">
      <c r="B6" s="48" t="s">
        <v>170</v>
      </c>
      <c r="C6" s="243">
        <v>25.6</v>
      </c>
      <c r="D6" s="5">
        <v>0.8</v>
      </c>
      <c r="E6" s="169">
        <v>9.1</v>
      </c>
      <c r="G6" s="154" t="s">
        <v>171</v>
      </c>
      <c r="H6" s="168">
        <v>120</v>
      </c>
    </row>
    <row r="7" spans="2:10" ht="17.25" customHeight="1">
      <c r="B7" s="48" t="s">
        <v>172</v>
      </c>
      <c r="C7" s="243">
        <v>25.3</v>
      </c>
      <c r="D7" s="5">
        <v>0.57999999999999996</v>
      </c>
      <c r="E7" s="169">
        <v>8</v>
      </c>
      <c r="G7" s="154" t="s">
        <v>173</v>
      </c>
      <c r="H7" s="164">
        <v>1.1200000000000001</v>
      </c>
    </row>
    <row r="8" spans="2:10" ht="17.25" customHeight="1">
      <c r="B8" s="48" t="s">
        <v>174</v>
      </c>
      <c r="C8" s="243">
        <v>26.1</v>
      </c>
      <c r="D8" s="5">
        <v>0.98</v>
      </c>
      <c r="E8" s="169">
        <v>11.2</v>
      </c>
      <c r="G8" s="154" t="s">
        <v>175</v>
      </c>
      <c r="H8" s="170">
        <v>325800</v>
      </c>
    </row>
    <row r="9" spans="2:10" ht="17.25" customHeight="1">
      <c r="B9" s="48" t="s">
        <v>176</v>
      </c>
      <c r="C9" s="243">
        <v>25.5</v>
      </c>
      <c r="D9" s="5">
        <v>0.75</v>
      </c>
      <c r="E9" s="169">
        <v>8.3000000000000007</v>
      </c>
      <c r="G9" s="154" t="s">
        <v>177</v>
      </c>
      <c r="H9" s="171">
        <v>0.123</v>
      </c>
      <c r="I9" s="244"/>
    </row>
    <row r="10" spans="2:10" ht="17.25" customHeight="1">
      <c r="B10" s="48" t="s">
        <v>178</v>
      </c>
      <c r="C10" s="243">
        <v>24</v>
      </c>
      <c r="D10" s="5">
        <v>0.89</v>
      </c>
      <c r="E10" s="169">
        <v>7.2</v>
      </c>
      <c r="G10" s="154" t="s">
        <v>179</v>
      </c>
      <c r="H10" s="170">
        <v>55600</v>
      </c>
      <c r="J10" s="5" t="s">
        <v>76</v>
      </c>
    </row>
    <row r="11" spans="2:10" ht="17.25" customHeight="1">
      <c r="B11" s="48" t="s">
        <v>180</v>
      </c>
      <c r="C11" s="243">
        <v>26.2</v>
      </c>
      <c r="D11" s="5">
        <v>0</v>
      </c>
      <c r="E11" s="169">
        <v>10.7</v>
      </c>
      <c r="G11" s="123" t="s">
        <v>11</v>
      </c>
      <c r="H11" s="171">
        <v>0.1201</v>
      </c>
    </row>
    <row r="12" spans="2:10" ht="17.25" customHeight="1">
      <c r="B12" s="48" t="s">
        <v>181</v>
      </c>
      <c r="C12" s="243">
        <v>24.3</v>
      </c>
      <c r="D12" s="5">
        <v>0.8</v>
      </c>
      <c r="E12" s="169">
        <v>4.9000000000000004</v>
      </c>
      <c r="G12" s="172" t="s">
        <v>182</v>
      </c>
      <c r="H12" s="173">
        <v>5.1000000000000004E-3</v>
      </c>
      <c r="I12" s="5" t="s">
        <v>76</v>
      </c>
      <c r="J12" s="5" t="s">
        <v>76</v>
      </c>
    </row>
    <row r="13" spans="2:10" ht="17.25" customHeight="1">
      <c r="B13" s="48" t="s">
        <v>183</v>
      </c>
      <c r="C13" s="243">
        <v>26.3</v>
      </c>
      <c r="D13" s="5">
        <v>1.06</v>
      </c>
      <c r="E13" s="169">
        <v>17.100000000000001</v>
      </c>
      <c r="G13" s="172" t="s">
        <v>184</v>
      </c>
      <c r="H13" s="173">
        <v>1.4E-2</v>
      </c>
    </row>
    <row r="14" spans="2:10" ht="17.25" customHeight="1">
      <c r="B14" s="48" t="s">
        <v>185</v>
      </c>
      <c r="C14" s="243">
        <v>24.8</v>
      </c>
      <c r="D14" s="5">
        <v>0.61</v>
      </c>
      <c r="E14" s="169">
        <v>8.1</v>
      </c>
      <c r="G14" s="172" t="s">
        <v>186</v>
      </c>
      <c r="H14" s="174">
        <v>11500000</v>
      </c>
      <c r="J14" s="5" t="s">
        <v>76</v>
      </c>
    </row>
    <row r="15" spans="2:10" ht="17.25" customHeight="1">
      <c r="B15" s="48" t="s">
        <v>187</v>
      </c>
      <c r="C15" s="243">
        <v>25.7</v>
      </c>
      <c r="D15" s="5">
        <v>0.76</v>
      </c>
      <c r="E15" s="169">
        <v>8.8000000000000007</v>
      </c>
      <c r="G15" s="172" t="s">
        <v>188</v>
      </c>
      <c r="H15" s="175">
        <v>0.12</v>
      </c>
    </row>
    <row r="16" spans="2:10" ht="17.25" customHeight="1">
      <c r="B16" s="48" t="s">
        <v>189</v>
      </c>
      <c r="C16" s="243">
        <v>26.1</v>
      </c>
      <c r="D16" s="5">
        <v>0.81</v>
      </c>
      <c r="E16" s="169">
        <v>9.9</v>
      </c>
      <c r="G16" s="172" t="s">
        <v>190</v>
      </c>
      <c r="H16" s="170">
        <v>10056</v>
      </c>
    </row>
    <row r="17" spans="2:9" ht="17.25" customHeight="1">
      <c r="B17" s="48" t="s">
        <v>191</v>
      </c>
      <c r="C17" s="243">
        <v>26.1</v>
      </c>
      <c r="D17" s="5">
        <v>1.05</v>
      </c>
      <c r="E17" s="169">
        <v>8.5</v>
      </c>
      <c r="G17" s="172" t="s">
        <v>192</v>
      </c>
      <c r="H17" s="175">
        <v>0.32</v>
      </c>
    </row>
    <row r="18" spans="2:9" ht="17.25" customHeight="1">
      <c r="B18" s="48" t="s">
        <v>193</v>
      </c>
      <c r="C18" s="243">
        <v>25.7</v>
      </c>
      <c r="D18" s="5">
        <v>1.1399999999999999</v>
      </c>
      <c r="E18" s="169">
        <v>12.5</v>
      </c>
      <c r="G18" s="172" t="s">
        <v>194</v>
      </c>
      <c r="H18" s="170">
        <v>26816</v>
      </c>
    </row>
    <row r="19" spans="2:9" ht="17.25" customHeight="1">
      <c r="B19" s="48" t="s">
        <v>195</v>
      </c>
      <c r="C19" s="243">
        <v>25.8</v>
      </c>
      <c r="D19" s="5">
        <v>0.96</v>
      </c>
      <c r="E19" s="169">
        <v>10.6</v>
      </c>
      <c r="G19" s="123" t="s">
        <v>196</v>
      </c>
      <c r="H19" s="170">
        <v>7000</v>
      </c>
    </row>
    <row r="20" spans="2:9" ht="17.25" customHeight="1">
      <c r="B20" s="48" t="s">
        <v>197</v>
      </c>
      <c r="C20" s="243">
        <v>25.3</v>
      </c>
      <c r="D20" s="5">
        <v>1.08</v>
      </c>
      <c r="E20" s="169">
        <v>8</v>
      </c>
      <c r="G20" s="172" t="s">
        <v>198</v>
      </c>
      <c r="H20" s="176">
        <v>300000</v>
      </c>
    </row>
    <row r="21" spans="2:9" ht="17.25" customHeight="1">
      <c r="B21" s="48" t="s">
        <v>199</v>
      </c>
      <c r="C21" s="243">
        <v>25.5</v>
      </c>
      <c r="D21" s="5">
        <v>0.62</v>
      </c>
      <c r="E21" s="169">
        <v>8.3000000000000007</v>
      </c>
      <c r="G21" s="172" t="s">
        <v>200</v>
      </c>
      <c r="H21" s="177">
        <v>0.22500000000000001</v>
      </c>
    </row>
    <row r="22" spans="2:9" ht="17.25" customHeight="1">
      <c r="B22" s="48" t="s">
        <v>201</v>
      </c>
      <c r="C22" s="243">
        <v>24.57</v>
      </c>
      <c r="D22" s="5">
        <v>0.88</v>
      </c>
      <c r="E22" s="169">
        <v>13</v>
      </c>
      <c r="G22" s="172" t="s">
        <v>202</v>
      </c>
      <c r="H22" s="177">
        <v>0.22500000000000001</v>
      </c>
    </row>
    <row r="23" spans="2:9" ht="17.25" customHeight="1">
      <c r="B23" s="48" t="s">
        <v>203</v>
      </c>
      <c r="C23" s="243">
        <v>26.2</v>
      </c>
      <c r="D23" s="5">
        <v>0.5</v>
      </c>
      <c r="E23" s="169">
        <v>3.1</v>
      </c>
      <c r="G23" s="172" t="s">
        <v>204</v>
      </c>
      <c r="H23" s="175">
        <v>0.8</v>
      </c>
    </row>
    <row r="24" spans="2:9" ht="17.25" customHeight="1">
      <c r="B24" s="48" t="s">
        <v>205</v>
      </c>
      <c r="C24" s="243">
        <v>25.7</v>
      </c>
      <c r="D24" s="5">
        <v>1.03</v>
      </c>
      <c r="E24" s="169">
        <v>13.4</v>
      </c>
      <c r="G24" s="178" t="s">
        <v>206</v>
      </c>
      <c r="H24" s="174">
        <v>3300</v>
      </c>
      <c r="I24" s="5" t="s">
        <v>76</v>
      </c>
    </row>
    <row r="25" spans="2:9" ht="17.25" customHeight="1">
      <c r="B25" s="48" t="s">
        <v>207</v>
      </c>
      <c r="C25" s="243">
        <v>24.88</v>
      </c>
      <c r="D25" s="5">
        <v>0.96</v>
      </c>
      <c r="E25" s="169">
        <v>12</v>
      </c>
      <c r="G25" s="172" t="s">
        <v>208</v>
      </c>
      <c r="H25" s="179">
        <v>0</v>
      </c>
    </row>
    <row r="26" spans="2:9" ht="17.25" customHeight="1">
      <c r="B26" s="48" t="s">
        <v>209</v>
      </c>
      <c r="C26" s="243">
        <v>26.1</v>
      </c>
      <c r="D26" s="5">
        <v>0.65</v>
      </c>
      <c r="E26" s="169">
        <v>7</v>
      </c>
      <c r="G26" s="172" t="s">
        <v>210</v>
      </c>
      <c r="H26" s="174"/>
    </row>
    <row r="27" spans="2:9" ht="17.25" customHeight="1">
      <c r="B27" s="48" t="s">
        <v>211</v>
      </c>
      <c r="C27" s="243">
        <v>24.24</v>
      </c>
      <c r="D27" s="5">
        <v>0.39</v>
      </c>
      <c r="E27" s="169">
        <v>5.0999999999999996</v>
      </c>
      <c r="G27" s="172" t="s">
        <v>212</v>
      </c>
      <c r="H27" s="174"/>
    </row>
    <row r="28" spans="2:9" ht="17.25" customHeight="1">
      <c r="B28" s="48" t="s">
        <v>213</v>
      </c>
      <c r="C28" s="243">
        <v>23.6</v>
      </c>
      <c r="D28" s="5">
        <v>0.75</v>
      </c>
      <c r="E28" s="169">
        <v>5.9</v>
      </c>
      <c r="G28" s="172" t="s">
        <v>214</v>
      </c>
      <c r="H28" s="173"/>
    </row>
    <row r="29" spans="2:9" ht="17.25" customHeight="1">
      <c r="B29" s="48" t="s">
        <v>215</v>
      </c>
      <c r="C29" s="243">
        <v>24.6</v>
      </c>
      <c r="D29" s="5">
        <v>0.8</v>
      </c>
      <c r="E29" s="169">
        <v>6.5</v>
      </c>
      <c r="G29" s="172" t="s">
        <v>216</v>
      </c>
      <c r="H29" s="171">
        <v>4.4999999999999998E-2</v>
      </c>
    </row>
    <row r="30" spans="2:9" ht="17.25" customHeight="1">
      <c r="B30" s="48" t="s">
        <v>217</v>
      </c>
      <c r="C30" s="243">
        <v>24.59</v>
      </c>
      <c r="D30" s="5">
        <v>0.81</v>
      </c>
      <c r="E30" s="169">
        <v>5.5</v>
      </c>
      <c r="G30" s="172" t="s">
        <v>218</v>
      </c>
      <c r="H30" s="174">
        <v>224500</v>
      </c>
    </row>
    <row r="31" spans="2:9" ht="17.25" customHeight="1">
      <c r="B31" s="48" t="s">
        <v>219</v>
      </c>
      <c r="C31" s="243">
        <v>25.4</v>
      </c>
      <c r="D31" s="5">
        <v>0.85</v>
      </c>
      <c r="E31" s="169">
        <v>11.1</v>
      </c>
      <c r="G31" s="172" t="s">
        <v>220</v>
      </c>
      <c r="H31" s="170">
        <v>2900</v>
      </c>
    </row>
    <row r="32" spans="2:9" ht="17.25" customHeight="1">
      <c r="B32" s="48" t="s">
        <v>221</v>
      </c>
      <c r="C32" s="243">
        <v>25.8</v>
      </c>
      <c r="D32" s="5">
        <v>1.1599999999999999</v>
      </c>
      <c r="E32" s="169">
        <v>15.9</v>
      </c>
      <c r="G32" s="123" t="s">
        <v>222</v>
      </c>
      <c r="H32" s="170">
        <v>104800</v>
      </c>
    </row>
    <row r="33" spans="2:9" ht="17.25" customHeight="1">
      <c r="B33" s="48" t="s">
        <v>223</v>
      </c>
      <c r="C33" s="243">
        <v>26.3</v>
      </c>
      <c r="D33" s="5">
        <v>0.95</v>
      </c>
      <c r="E33" s="169">
        <v>12.7</v>
      </c>
      <c r="G33" s="123" t="s">
        <v>224</v>
      </c>
      <c r="H33" s="170">
        <v>52400</v>
      </c>
    </row>
    <row r="34" spans="2:9" ht="17.25" customHeight="1">
      <c r="B34" s="48" t="s">
        <v>225</v>
      </c>
      <c r="C34" s="243">
        <v>25.7</v>
      </c>
      <c r="D34" s="5">
        <v>0.85</v>
      </c>
      <c r="E34" s="169">
        <v>10.9</v>
      </c>
      <c r="G34" s="154" t="s">
        <v>226</v>
      </c>
      <c r="H34" s="170">
        <v>51600</v>
      </c>
    </row>
    <row r="35" spans="2:9" ht="17.25" customHeight="1">
      <c r="B35" s="48" t="s">
        <v>227</v>
      </c>
      <c r="C35" s="243">
        <v>25.52</v>
      </c>
      <c r="D35" s="5">
        <v>0.98</v>
      </c>
      <c r="E35" s="169">
        <v>7.9</v>
      </c>
      <c r="G35" s="172" t="s">
        <v>228</v>
      </c>
      <c r="H35" s="170">
        <v>611800</v>
      </c>
      <c r="I35" s="5" t="s">
        <v>76</v>
      </c>
    </row>
    <row r="36" spans="2:9" ht="17.25" customHeight="1">
      <c r="B36" s="48" t="s">
        <v>229</v>
      </c>
      <c r="C36" s="243">
        <v>25.82</v>
      </c>
      <c r="D36" s="5">
        <v>0.63</v>
      </c>
      <c r="E36" s="169">
        <v>9.5</v>
      </c>
      <c r="G36" s="123" t="s">
        <v>230</v>
      </c>
      <c r="H36" s="170">
        <v>65500</v>
      </c>
    </row>
    <row r="37" spans="2:9" ht="17.25" customHeight="1">
      <c r="B37" s="48" t="s">
        <v>231</v>
      </c>
      <c r="C37" s="243">
        <v>23.7</v>
      </c>
      <c r="D37" s="5">
        <v>0.75</v>
      </c>
      <c r="E37" s="169">
        <v>5.4</v>
      </c>
      <c r="G37" s="154" t="s">
        <v>232</v>
      </c>
      <c r="H37" s="171">
        <v>0.52070000000000005</v>
      </c>
    </row>
    <row r="38" spans="2:9" ht="17.25" customHeight="1">
      <c r="B38" s="48" t="s">
        <v>233</v>
      </c>
      <c r="C38" s="243">
        <v>25.4</v>
      </c>
      <c r="D38" s="5">
        <v>0.99</v>
      </c>
      <c r="E38" s="169">
        <v>9.9</v>
      </c>
      <c r="G38" s="154" t="s">
        <v>234</v>
      </c>
      <c r="H38" s="171">
        <v>0.42</v>
      </c>
    </row>
    <row r="39" spans="2:9" ht="17.25" customHeight="1">
      <c r="B39" s="48" t="s">
        <v>235</v>
      </c>
      <c r="C39" s="243">
        <v>25.6</v>
      </c>
      <c r="D39" s="5">
        <v>0.69</v>
      </c>
      <c r="E39" s="169">
        <v>6.6</v>
      </c>
      <c r="G39" s="123" t="s">
        <v>16</v>
      </c>
      <c r="H39" s="175">
        <v>0</v>
      </c>
    </row>
    <row r="40" spans="2:9" ht="17.25" customHeight="1">
      <c r="B40" s="48" t="s">
        <v>236</v>
      </c>
      <c r="C40" s="243">
        <v>26.21</v>
      </c>
      <c r="D40" s="5">
        <v>1.19</v>
      </c>
      <c r="E40" s="169">
        <v>16.5</v>
      </c>
      <c r="G40" s="172" t="s">
        <v>237</v>
      </c>
      <c r="H40" s="180">
        <v>0.08</v>
      </c>
    </row>
    <row r="41" spans="2:9" ht="17.25" customHeight="1">
      <c r="B41" s="48" t="s">
        <v>238</v>
      </c>
      <c r="C41" s="243">
        <v>25.3</v>
      </c>
      <c r="D41" s="5">
        <v>0.96</v>
      </c>
      <c r="E41" s="169">
        <v>8.1</v>
      </c>
      <c r="G41" s="172" t="s">
        <v>239</v>
      </c>
      <c r="H41" s="170">
        <v>-100000</v>
      </c>
    </row>
    <row r="42" spans="2:9" ht="17.25" customHeight="1">
      <c r="B42" s="48" t="s">
        <v>240</v>
      </c>
      <c r="C42" s="243">
        <v>25.5</v>
      </c>
      <c r="D42" s="5">
        <v>1.08</v>
      </c>
      <c r="E42" s="169">
        <v>11.5</v>
      </c>
      <c r="G42" s="172" t="s">
        <v>241</v>
      </c>
      <c r="H42" s="170">
        <v>-50000</v>
      </c>
    </row>
    <row r="43" spans="2:9" ht="17.25" customHeight="1">
      <c r="B43" s="48" t="s">
        <v>242</v>
      </c>
      <c r="C43" s="243">
        <v>25.69</v>
      </c>
      <c r="D43" s="5">
        <v>0.79</v>
      </c>
      <c r="E43" s="169">
        <v>8.6999999999999993</v>
      </c>
      <c r="G43" s="147" t="s">
        <v>14</v>
      </c>
      <c r="H43" s="181">
        <v>0.15</v>
      </c>
    </row>
    <row r="44" spans="2:9" ht="17.25" customHeight="1">
      <c r="B44" s="48" t="s">
        <v>243</v>
      </c>
      <c r="C44" s="243">
        <v>25.4</v>
      </c>
      <c r="D44" s="5">
        <v>0.72</v>
      </c>
      <c r="E44" s="169">
        <v>6.5</v>
      </c>
    </row>
    <row r="45" spans="2:9" ht="17.25" customHeight="1">
      <c r="B45" s="48" t="s">
        <v>244</v>
      </c>
      <c r="C45" s="243">
        <v>24.6</v>
      </c>
      <c r="D45" s="5">
        <v>0.8</v>
      </c>
      <c r="E45" s="169">
        <v>6.3</v>
      </c>
    </row>
    <row r="46" spans="2:9" ht="17.25" customHeight="1">
      <c r="B46" s="48" t="s">
        <v>245</v>
      </c>
      <c r="C46" s="243">
        <v>23.7</v>
      </c>
      <c r="D46" s="5">
        <v>0.62</v>
      </c>
      <c r="E46" s="169">
        <v>8.5</v>
      </c>
    </row>
    <row r="47" spans="2:9" ht="17.25" customHeight="1">
      <c r="B47" s="48" t="s">
        <v>246</v>
      </c>
      <c r="C47" s="243">
        <v>25.1</v>
      </c>
      <c r="D47" s="5">
        <v>0.97</v>
      </c>
      <c r="E47" s="169">
        <v>9.1</v>
      </c>
    </row>
    <row r="48" spans="2:9" ht="17.25" customHeight="1">
      <c r="B48" s="48" t="s">
        <v>247</v>
      </c>
      <c r="C48" s="243">
        <v>25</v>
      </c>
      <c r="D48" s="5">
        <v>0.9</v>
      </c>
      <c r="E48" s="169">
        <v>6.5</v>
      </c>
    </row>
    <row r="49" spans="2:5" ht="17.25" customHeight="1">
      <c r="B49" s="48" t="s">
        <v>248</v>
      </c>
      <c r="C49" s="243">
        <v>25.7</v>
      </c>
      <c r="D49" s="5">
        <v>1.2</v>
      </c>
      <c r="E49" s="169">
        <v>13.2</v>
      </c>
    </row>
    <row r="50" spans="2:5" ht="17.25" customHeight="1">
      <c r="B50" s="48" t="s">
        <v>249</v>
      </c>
      <c r="C50" s="243">
        <v>24.2</v>
      </c>
      <c r="D50" s="5">
        <v>1.01</v>
      </c>
      <c r="E50" s="169">
        <v>16.600000000000001</v>
      </c>
    </row>
    <row r="51" spans="2:5" ht="17.25" customHeight="1">
      <c r="B51" s="48" t="s">
        <v>250</v>
      </c>
      <c r="C51" s="243">
        <v>26.1</v>
      </c>
      <c r="D51" s="5">
        <v>0.98</v>
      </c>
      <c r="E51" s="169">
        <v>12.4</v>
      </c>
    </row>
    <row r="52" spans="2:5" ht="17.25" customHeight="1">
      <c r="B52" s="48" t="s">
        <v>251</v>
      </c>
      <c r="C52" s="243">
        <v>25.5</v>
      </c>
      <c r="D52" s="5">
        <v>0.92</v>
      </c>
      <c r="E52" s="169">
        <v>11.1</v>
      </c>
    </row>
    <row r="53" spans="2:5" ht="17.25" customHeight="1">
      <c r="B53" s="48" t="s">
        <v>252</v>
      </c>
      <c r="C53" s="243">
        <v>23.5</v>
      </c>
      <c r="D53" s="5">
        <v>0.8</v>
      </c>
      <c r="E53" s="169">
        <v>5.0999999999999996</v>
      </c>
    </row>
    <row r="54" spans="2:5" ht="17.25" customHeight="1">
      <c r="B54" s="48" t="s">
        <v>253</v>
      </c>
      <c r="C54" s="243">
        <v>25.26</v>
      </c>
      <c r="D54" s="5">
        <v>0.87</v>
      </c>
      <c r="E54" s="169">
        <v>5.3</v>
      </c>
    </row>
    <row r="55" spans="2:5" ht="17.25" customHeight="1">
      <c r="B55" s="48" t="s">
        <v>254</v>
      </c>
      <c r="C55" s="243">
        <v>26.3</v>
      </c>
      <c r="D55" s="5">
        <v>1.1399999999999999</v>
      </c>
      <c r="E55" s="169">
        <v>12.2</v>
      </c>
    </row>
    <row r="56" spans="2:5" ht="17.25" customHeight="1">
      <c r="B56" s="48" t="s">
        <v>255</v>
      </c>
      <c r="C56" s="243">
        <v>25.31</v>
      </c>
      <c r="D56" s="5">
        <v>1.05</v>
      </c>
      <c r="E56" s="169">
        <v>9.6</v>
      </c>
    </row>
    <row r="57" spans="2:5" ht="17.25" customHeight="1">
      <c r="B57" s="48" t="s">
        <v>256</v>
      </c>
      <c r="C57" s="243">
        <v>25.7</v>
      </c>
      <c r="D57" s="5">
        <v>1.27</v>
      </c>
      <c r="E57" s="169">
        <v>15.4</v>
      </c>
    </row>
    <row r="58" spans="2:5" ht="17.25" customHeight="1">
      <c r="B58" s="48" t="s">
        <v>257</v>
      </c>
      <c r="C58" s="243">
        <v>26.3</v>
      </c>
      <c r="D58" s="5">
        <v>1.23</v>
      </c>
      <c r="E58" s="169">
        <v>17.399999999999999</v>
      </c>
    </row>
    <row r="59" spans="2:5" ht="17.25" customHeight="1">
      <c r="B59" s="48" t="s">
        <v>25</v>
      </c>
      <c r="C59" s="243">
        <v>24.38</v>
      </c>
      <c r="D59" s="5">
        <v>0.6</v>
      </c>
      <c r="E59" s="169">
        <v>6.7</v>
      </c>
    </row>
    <row r="60" spans="2:5" ht="17.25" customHeight="1">
      <c r="B60" s="48" t="s">
        <v>258</v>
      </c>
      <c r="C60" s="243">
        <v>26.3</v>
      </c>
      <c r="D60" s="5">
        <v>1.3</v>
      </c>
      <c r="E60" s="169">
        <v>12.7</v>
      </c>
    </row>
    <row r="61" spans="2:5" ht="17.25" customHeight="1">
      <c r="B61" s="48" t="s">
        <v>259</v>
      </c>
      <c r="C61" s="243">
        <v>25.9</v>
      </c>
      <c r="D61" s="5">
        <v>1.1499999999999999</v>
      </c>
      <c r="E61" s="169">
        <v>15.7</v>
      </c>
    </row>
    <row r="62" spans="2:5" ht="17.25" customHeight="1">
      <c r="B62" s="48" t="s">
        <v>260</v>
      </c>
      <c r="C62" s="243">
        <v>25.8</v>
      </c>
      <c r="D62" s="5">
        <v>0.9</v>
      </c>
      <c r="E62" s="169">
        <v>6.8</v>
      </c>
    </row>
    <row r="63" spans="2:5" ht="17.25" customHeight="1">
      <c r="B63" s="48" t="s">
        <v>261</v>
      </c>
      <c r="C63" s="243">
        <v>25.8</v>
      </c>
      <c r="D63" s="5">
        <v>1.2</v>
      </c>
      <c r="E63" s="169">
        <v>15.3</v>
      </c>
    </row>
    <row r="64" spans="2:5" ht="17.25" customHeight="1">
      <c r="B64" s="48" t="s">
        <v>262</v>
      </c>
      <c r="C64" s="243">
        <v>26</v>
      </c>
      <c r="D64" s="5">
        <v>1</v>
      </c>
      <c r="E64" s="169">
        <v>16.8</v>
      </c>
    </row>
    <row r="65" spans="2:5" ht="17.25" customHeight="1">
      <c r="B65" s="48" t="s">
        <v>263</v>
      </c>
      <c r="C65" s="243">
        <v>26</v>
      </c>
      <c r="D65" s="5">
        <v>1.04</v>
      </c>
      <c r="E65" s="169">
        <v>15.1</v>
      </c>
    </row>
    <row r="66" spans="2:5" ht="17.25" customHeight="1">
      <c r="B66" s="48" t="s">
        <v>264</v>
      </c>
      <c r="C66" s="243">
        <v>26.3</v>
      </c>
      <c r="D66" s="5">
        <v>1</v>
      </c>
      <c r="E66" s="169">
        <v>12.8</v>
      </c>
    </row>
    <row r="67" spans="2:5" ht="17.25" customHeight="1">
      <c r="B67" s="48" t="s">
        <v>265</v>
      </c>
      <c r="C67" s="243">
        <v>25</v>
      </c>
      <c r="D67" s="5">
        <v>0.98</v>
      </c>
      <c r="E67" s="169">
        <v>9.8000000000000007</v>
      </c>
    </row>
    <row r="68" spans="2:5" ht="17.25" customHeight="1">
      <c r="B68" s="48" t="s">
        <v>266</v>
      </c>
      <c r="C68" s="243">
        <v>25.1</v>
      </c>
      <c r="D68" s="5">
        <v>0.95</v>
      </c>
      <c r="E68" s="169">
        <v>14.4</v>
      </c>
    </row>
    <row r="69" spans="2:5" ht="17.25" customHeight="1">
      <c r="B69" s="48" t="s">
        <v>267</v>
      </c>
      <c r="C69" s="243">
        <v>25.5</v>
      </c>
      <c r="D69" s="5">
        <v>0.68</v>
      </c>
      <c r="E69" s="169">
        <v>5.7</v>
      </c>
    </row>
    <row r="70" spans="2:5" ht="17.25" customHeight="1">
      <c r="B70" s="48" t="s">
        <v>268</v>
      </c>
      <c r="C70" s="243">
        <v>26.3</v>
      </c>
      <c r="D70" s="5">
        <v>0.98</v>
      </c>
      <c r="E70" s="169">
        <v>12.3</v>
      </c>
    </row>
    <row r="71" spans="2:5" ht="17.25" customHeight="1">
      <c r="B71" s="48" t="s">
        <v>269</v>
      </c>
      <c r="C71" s="243">
        <v>26</v>
      </c>
      <c r="D71" s="5">
        <v>0.89</v>
      </c>
      <c r="E71" s="169">
        <v>13.9</v>
      </c>
    </row>
    <row r="72" spans="2:5" ht="17.25" customHeight="1">
      <c r="B72" s="48" t="s">
        <v>270</v>
      </c>
      <c r="C72" s="243">
        <v>25.83</v>
      </c>
      <c r="D72" s="5">
        <v>1.2</v>
      </c>
      <c r="E72" s="169">
        <v>8.9</v>
      </c>
    </row>
    <row r="73" spans="2:5" ht="17.25" customHeight="1">
      <c r="B73" s="48" t="s">
        <v>271</v>
      </c>
      <c r="C73" s="243">
        <v>25</v>
      </c>
      <c r="D73" s="5">
        <v>1.05</v>
      </c>
      <c r="E73" s="169">
        <v>16.399999999999999</v>
      </c>
    </row>
    <row r="74" spans="2:5" ht="17.25" customHeight="1">
      <c r="B74" s="48" t="s">
        <v>272</v>
      </c>
      <c r="C74" s="243">
        <v>26.1</v>
      </c>
      <c r="D74" s="5">
        <v>0.95</v>
      </c>
      <c r="E74" s="169">
        <v>7</v>
      </c>
    </row>
    <row r="75" spans="2:5" ht="17.25" customHeight="1">
      <c r="B75" s="48" t="s">
        <v>273</v>
      </c>
      <c r="C75" s="243">
        <v>25.2</v>
      </c>
      <c r="D75" s="5">
        <v>0.84</v>
      </c>
      <c r="E75" s="169">
        <v>7.4</v>
      </c>
    </row>
    <row r="76" spans="2:5" ht="17.25" customHeight="1">
      <c r="B76" s="48" t="s">
        <v>274</v>
      </c>
      <c r="C76" s="243">
        <v>23.52</v>
      </c>
      <c r="D76" s="5">
        <v>0.56999999999999995</v>
      </c>
      <c r="E76" s="169">
        <v>9.5</v>
      </c>
    </row>
    <row r="77" spans="2:5" ht="17.25" customHeight="1">
      <c r="B77" s="48" t="s">
        <v>275</v>
      </c>
      <c r="C77" s="243">
        <v>25.7</v>
      </c>
      <c r="D77" s="5">
        <v>0.72</v>
      </c>
      <c r="E77" s="169">
        <v>7.8</v>
      </c>
    </row>
    <row r="78" spans="2:5" ht="17.25" customHeight="1">
      <c r="B78" s="48" t="s">
        <v>276</v>
      </c>
      <c r="C78" s="243">
        <v>25.9</v>
      </c>
      <c r="D78" s="5">
        <v>1.2</v>
      </c>
      <c r="E78" s="169">
        <v>10.5</v>
      </c>
    </row>
    <row r="79" spans="2:5" ht="17.25" customHeight="1">
      <c r="B79" s="48" t="s">
        <v>277</v>
      </c>
      <c r="C79" s="243">
        <v>25.5</v>
      </c>
      <c r="D79" s="5">
        <v>0.95</v>
      </c>
      <c r="E79" s="169">
        <v>11</v>
      </c>
    </row>
    <row r="80" spans="2:5" ht="17.25" customHeight="1">
      <c r="B80" s="48" t="s">
        <v>278</v>
      </c>
      <c r="C80" s="243">
        <v>26</v>
      </c>
      <c r="D80" s="5">
        <v>0.86</v>
      </c>
      <c r="E80" s="169">
        <v>8.6</v>
      </c>
    </row>
    <row r="81" spans="2:5" ht="17.25" customHeight="1">
      <c r="B81" s="48" t="s">
        <v>279</v>
      </c>
      <c r="C81" s="243">
        <v>25.5</v>
      </c>
      <c r="D81" s="5">
        <v>1.0900000000000001</v>
      </c>
      <c r="E81" s="169">
        <v>11.6</v>
      </c>
    </row>
    <row r="82" spans="2:5" ht="17.25" customHeight="1">
      <c r="B82" s="48" t="s">
        <v>280</v>
      </c>
      <c r="C82" s="243">
        <v>26.1</v>
      </c>
      <c r="D82" s="5">
        <v>0.96</v>
      </c>
      <c r="E82" s="169">
        <v>11.1</v>
      </c>
    </row>
    <row r="83" spans="2:5" ht="17.25" customHeight="1">
      <c r="B83" s="48" t="s">
        <v>281</v>
      </c>
      <c r="C83" s="243">
        <v>24.99</v>
      </c>
      <c r="D83" s="5">
        <v>0.89</v>
      </c>
      <c r="E83" s="169">
        <v>7.9</v>
      </c>
    </row>
    <row r="84" spans="2:5" ht="17.25" customHeight="1">
      <c r="B84" s="48" t="s">
        <v>282</v>
      </c>
      <c r="C84" s="243">
        <v>26.3</v>
      </c>
      <c r="D84" s="5">
        <v>0.95</v>
      </c>
      <c r="E84" s="169">
        <v>9.8000000000000007</v>
      </c>
    </row>
    <row r="85" spans="2:5" ht="17.25" customHeight="1">
      <c r="B85" s="48" t="s">
        <v>283</v>
      </c>
      <c r="C85" s="243">
        <v>26</v>
      </c>
      <c r="D85" s="5">
        <v>1.1000000000000001</v>
      </c>
      <c r="E85" s="169">
        <v>8.3000000000000007</v>
      </c>
    </row>
    <row r="86" spans="2:5" ht="17.25" customHeight="1">
      <c r="B86" s="48" t="s">
        <v>284</v>
      </c>
      <c r="C86" s="243">
        <v>25.3</v>
      </c>
      <c r="D86" s="5">
        <v>1.2</v>
      </c>
      <c r="E86" s="169">
        <v>15.5</v>
      </c>
    </row>
    <row r="87" spans="2:5" ht="17.25" customHeight="1">
      <c r="B87" s="48" t="s">
        <v>285</v>
      </c>
      <c r="C87" s="243">
        <v>26.3</v>
      </c>
      <c r="D87" s="5">
        <v>1.02</v>
      </c>
      <c r="E87" s="169">
        <v>8.8000000000000007</v>
      </c>
    </row>
    <row r="88" spans="2:5" ht="17.25" customHeight="1">
      <c r="B88" s="48" t="s">
        <v>286</v>
      </c>
      <c r="C88" s="243">
        <v>25.9</v>
      </c>
      <c r="D88" s="5">
        <v>0.98</v>
      </c>
      <c r="E88" s="169">
        <v>14.2</v>
      </c>
    </row>
    <row r="89" spans="2:5" ht="17.25" customHeight="1">
      <c r="B89" s="48" t="s">
        <v>287</v>
      </c>
      <c r="C89" s="243">
        <v>25.7</v>
      </c>
      <c r="D89" s="5">
        <v>0.91</v>
      </c>
      <c r="E89" s="169">
        <v>13.5</v>
      </c>
    </row>
    <row r="90" spans="2:5" ht="17.25" customHeight="1">
      <c r="B90" s="48" t="s">
        <v>288</v>
      </c>
      <c r="C90" s="243">
        <v>25.5</v>
      </c>
      <c r="D90" s="5">
        <v>1.27</v>
      </c>
      <c r="E90" s="169">
        <v>11.2</v>
      </c>
    </row>
    <row r="91" spans="2:5" ht="17.25" customHeight="1">
      <c r="B91" s="48" t="s">
        <v>289</v>
      </c>
      <c r="C91" s="243">
        <v>25.3</v>
      </c>
      <c r="D91" s="5">
        <v>0.61</v>
      </c>
      <c r="E91" s="169">
        <v>6</v>
      </c>
    </row>
    <row r="92" spans="2:5" ht="17.25" customHeight="1">
      <c r="B92" s="48" t="s">
        <v>290</v>
      </c>
      <c r="C92" s="243">
        <v>24.1</v>
      </c>
      <c r="D92" s="5">
        <v>1.1599999999999999</v>
      </c>
      <c r="E92" s="169">
        <v>10.8</v>
      </c>
    </row>
    <row r="93" spans="2:5" ht="17.25" customHeight="1">
      <c r="B93" s="48" t="s">
        <v>291</v>
      </c>
      <c r="C93" s="243">
        <v>25.6</v>
      </c>
      <c r="D93" s="5">
        <v>0.8</v>
      </c>
      <c r="E93" s="169">
        <v>8.6</v>
      </c>
    </row>
    <row r="94" spans="2:5" ht="17.25" customHeight="1">
      <c r="B94" s="48" t="s">
        <v>292</v>
      </c>
      <c r="C94" s="243">
        <v>25.1</v>
      </c>
      <c r="D94" s="5">
        <v>0.95</v>
      </c>
      <c r="E94" s="169">
        <v>17.7</v>
      </c>
    </row>
    <row r="95" spans="2:5" ht="17.25" customHeight="1">
      <c r="B95" s="48" t="s">
        <v>293</v>
      </c>
      <c r="C95" s="243">
        <v>25.8</v>
      </c>
      <c r="D95" s="5">
        <v>1.06</v>
      </c>
      <c r="E95" s="169">
        <v>9</v>
      </c>
    </row>
    <row r="96" spans="2:5" ht="17.25" customHeight="1">
      <c r="B96" s="48" t="s">
        <v>294</v>
      </c>
      <c r="C96" s="243">
        <v>23.4</v>
      </c>
      <c r="D96" s="5">
        <v>0.89</v>
      </c>
      <c r="E96" s="169">
        <v>10.5</v>
      </c>
    </row>
    <row r="97" spans="2:5" ht="17.25" customHeight="1">
      <c r="B97" s="48" t="s">
        <v>295</v>
      </c>
      <c r="C97" s="243">
        <v>26.3</v>
      </c>
      <c r="D97" s="5">
        <v>1.18</v>
      </c>
      <c r="E97" s="169">
        <v>9.3000000000000007</v>
      </c>
    </row>
    <row r="98" spans="2:5" ht="17.25" customHeight="1">
      <c r="B98" s="48" t="s">
        <v>296</v>
      </c>
      <c r="C98" s="243">
        <v>25.5</v>
      </c>
      <c r="D98" s="5">
        <v>0.93</v>
      </c>
      <c r="E98" s="169">
        <v>11.5</v>
      </c>
    </row>
    <row r="99" spans="2:5" ht="17.25" customHeight="1">
      <c r="B99" s="48" t="s">
        <v>297</v>
      </c>
      <c r="C99" s="243">
        <v>26.3</v>
      </c>
      <c r="D99" s="5">
        <v>1.02</v>
      </c>
      <c r="E99" s="169">
        <v>13.5</v>
      </c>
    </row>
    <row r="100" spans="2:5" ht="17.25" customHeight="1">
      <c r="B100" s="48" t="s">
        <v>298</v>
      </c>
      <c r="C100" s="243">
        <v>26.1</v>
      </c>
      <c r="D100" s="5">
        <v>1.05</v>
      </c>
      <c r="E100" s="169">
        <v>11.1</v>
      </c>
    </row>
    <row r="101" spans="2:5" ht="17.25" customHeight="1">
      <c r="B101" s="48" t="s">
        <v>299</v>
      </c>
      <c r="C101" s="243">
        <v>25.6</v>
      </c>
      <c r="D101" s="5">
        <v>0.95</v>
      </c>
      <c r="E101" s="169">
        <v>7.8</v>
      </c>
    </row>
    <row r="102" spans="2:5" ht="17.25" customHeight="1">
      <c r="B102" s="48" t="s">
        <v>300</v>
      </c>
      <c r="C102" s="243">
        <v>25.6</v>
      </c>
      <c r="D102" s="5">
        <v>0.98</v>
      </c>
      <c r="E102" s="169">
        <v>7.4</v>
      </c>
    </row>
    <row r="103" spans="2:5" ht="17.25" customHeight="1">
      <c r="B103" s="63" t="s">
        <v>301</v>
      </c>
      <c r="C103" s="243">
        <v>24.52</v>
      </c>
      <c r="D103" s="182">
        <v>0.74</v>
      </c>
      <c r="E103" s="183">
        <v>6</v>
      </c>
    </row>
  </sheetData>
  <mergeCells count="1">
    <mergeCell ref="B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3c11eb6-de36-4131-bab2-6a22847efc48" xsi:nil="true"/>
    <_ip_UnifiedCompliancePolicyProperties xmlns="http://schemas.microsoft.com/sharepoint/v3" xsi:nil="true"/>
    <lcf76f155ced4ddcb4097134ff3c332f xmlns="c7e2ecf6-e361-4159-9367-86aa4c26842f">
      <Terms xmlns="http://schemas.microsoft.com/office/infopath/2007/PartnerControls"/>
    </lcf76f155ced4ddcb4097134ff3c332f>
    <Flow xmlns="c7e2ecf6-e361-4159-9367-86aa4c26842f" xsi:nil="true"/>
    <Subjekt xmlns="c7e2ecf6-e361-4159-9367-86aa4c26842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2150DA7EBAE146A0008195A4976989" ma:contentTypeVersion="22" ma:contentTypeDescription="Opret et nyt dokument." ma:contentTypeScope="" ma:versionID="bb49a8d41e2132d2fd9bf186ff06d321">
  <xsd:schema xmlns:xsd="http://www.w3.org/2001/XMLSchema" xmlns:xs="http://www.w3.org/2001/XMLSchema" xmlns:p="http://schemas.microsoft.com/office/2006/metadata/properties" xmlns:ns1="http://schemas.microsoft.com/sharepoint/v3" xmlns:ns2="0ff1153b-be98-465d-a7ff-36bc3c69af6c" xmlns:ns3="c7e2ecf6-e361-4159-9367-86aa4c26842f" xmlns:ns4="c3c11eb6-de36-4131-bab2-6a22847efc48" targetNamespace="http://schemas.microsoft.com/office/2006/metadata/properties" ma:root="true" ma:fieldsID="17e0d2fe9dcd414a9c9b93b92d334190" ns1:_="" ns2:_="" ns3:_="" ns4:_="">
    <xsd:import namespace="http://schemas.microsoft.com/sharepoint/v3"/>
    <xsd:import namespace="0ff1153b-be98-465d-a7ff-36bc3c69af6c"/>
    <xsd:import namespace="c7e2ecf6-e361-4159-9367-86aa4c26842f"/>
    <xsd:import namespace="c3c11eb6-de36-4131-bab2-6a22847efc4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Flow" minOccurs="0"/>
                <xsd:element ref="ns3:Subjekt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Egenskaber for Unified Compliance Policy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Handling for Unified Compliance Policy-grænseflad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1153b-be98-465d-a7ff-36bc3c69af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t med detaljer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2ecf6-e361-4159-9367-86aa4c26842f" elementFormDefault="qualified">
    <xsd:import namespace="http://schemas.microsoft.com/office/2006/documentManagement/types"/>
    <xsd:import namespace="http://schemas.microsoft.com/office/infopath/2007/PartnerControls"/>
    <xsd:element name="Flow" ma:index="10" nillable="true" ma:displayName="Flow" ma:internalName="Flow">
      <xsd:simpleType>
        <xsd:restriction base="dms:Text"/>
      </xsd:simpleType>
    </xsd:element>
    <xsd:element name="Subjekt" ma:index="11" nillable="true" ma:displayName="Subjekt" ma:internalName="Subjekt">
      <xsd:simpleType>
        <xsd:restriction base="dms:Text"/>
      </xsd:simpleType>
    </xsd:element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11eb6-de36-4131-bab2-6a22847efc48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ksonomiopsamlingskolonne" ma:hidden="true" ma:list="{a1a370a8-317b-4539-b185-7c03a802e66e}" ma:internalName="TaxCatchAll" ma:showField="CatchAllData" ma:web="c3c11eb6-de36-4131-bab2-6a22847efc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A957FD-E8E7-4D4D-B62C-25EA72D87B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7EE773-A835-437E-9701-6A0E0306F29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3c11eb6-de36-4131-bab2-6a22847efc48"/>
    <ds:schemaRef ds:uri="c7e2ecf6-e361-4159-9367-86aa4c26842f"/>
  </ds:schemaRefs>
</ds:datastoreItem>
</file>

<file path=customXml/itemProps3.xml><?xml version="1.0" encoding="utf-8"?>
<ds:datastoreItem xmlns:ds="http://schemas.openxmlformats.org/officeDocument/2006/customXml" ds:itemID="{5FE58E51-D01F-4260-87B7-6F8F61C7E5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f1153b-be98-465d-a7ff-36bc3c69af6c"/>
    <ds:schemaRef ds:uri="c7e2ecf6-e361-4159-9367-86aa4c26842f"/>
    <ds:schemaRef ds:uri="c3c11eb6-de36-4131-bab2-6a22847efc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41</vt:i4>
      </vt:variant>
    </vt:vector>
  </HeadingPairs>
  <TitlesOfParts>
    <vt:vector size="49" baseType="lpstr">
      <vt:lpstr>Skat før</vt:lpstr>
      <vt:lpstr>Tom bo (60%)</vt:lpstr>
      <vt:lpstr>Tom bo mangler (80%)</vt:lpstr>
      <vt:lpstr>Skat bo (80%)</vt:lpstr>
      <vt:lpstr>Tom salg (70%)</vt:lpstr>
      <vt:lpstr>Tom salg mangler (80%)</vt:lpstr>
      <vt:lpstr>Skat salg (80%)</vt:lpstr>
      <vt:lpstr>Skattesatser</vt:lpstr>
      <vt:lpstr>ArbBidrag</vt:lpstr>
      <vt:lpstr>BeFradragHojSats</vt:lpstr>
      <vt:lpstr>BeFradragKmMax</vt:lpstr>
      <vt:lpstr>BeFradragKmMin</vt:lpstr>
      <vt:lpstr>BeFradragLavSats</vt:lpstr>
      <vt:lpstr>BFradragMax</vt:lpstr>
      <vt:lpstr>BFradragProc</vt:lpstr>
      <vt:lpstr>Bundskat</vt:lpstr>
      <vt:lpstr>EjVSkatGranse</vt:lpstr>
      <vt:lpstr>EjVSkatMax</vt:lpstr>
      <vt:lpstr>EjVSkatMin</vt:lpstr>
      <vt:lpstr>EPENfradragMax</vt:lpstr>
      <vt:lpstr>EPENfradragProc</vt:lpstr>
      <vt:lpstr>EPENSeniorMax</vt:lpstr>
      <vt:lpstr>EPENSeniorProc</vt:lpstr>
      <vt:lpstr>FagforeningMax</vt:lpstr>
      <vt:lpstr>FirmabilGranse</vt:lpstr>
      <vt:lpstr>FirmabilHoj</vt:lpstr>
      <vt:lpstr>FirmabilLav</vt:lpstr>
      <vt:lpstr>Forsigtighed</vt:lpstr>
      <vt:lpstr>FriTelefon</vt:lpstr>
      <vt:lpstr>GranseForhBFdrag</vt:lpstr>
      <vt:lpstr>GranseNegKIEnlig</vt:lpstr>
      <vt:lpstr>GranseNegKIPar</vt:lpstr>
      <vt:lpstr>GronCheck</vt:lpstr>
      <vt:lpstr>GronSkatMax</vt:lpstr>
      <vt:lpstr>GronSkatMin</vt:lpstr>
      <vt:lpstr>GronSkatMod</vt:lpstr>
      <vt:lpstr>Jfradraggranse</vt:lpstr>
      <vt:lpstr>JfradragMax</vt:lpstr>
      <vt:lpstr>Jfradragproc</vt:lpstr>
      <vt:lpstr>KItilTopskatEnlig</vt:lpstr>
      <vt:lpstr>KItilTopskatPar</vt:lpstr>
      <vt:lpstr>Personfradrag</vt:lpstr>
      <vt:lpstr>RatepensionMax</vt:lpstr>
      <vt:lpstr>SkraatSkatteloftKI</vt:lpstr>
      <vt:lpstr>SkraatSkatteloftPI</vt:lpstr>
      <vt:lpstr>Sundhedsbidrag</vt:lpstr>
      <vt:lpstr>TillagNegKI</vt:lpstr>
      <vt:lpstr>Topskat</vt:lpstr>
      <vt:lpstr>TopSkatGranse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Engstrøm (ENG - Adjunkt - Cphbusiness)</dc:creator>
  <cp:keywords/>
  <dc:description/>
  <cp:lastModifiedBy>Thomas Petersen</cp:lastModifiedBy>
  <cp:revision/>
  <dcterms:created xsi:type="dcterms:W3CDTF">2024-01-17T15:23:27Z</dcterms:created>
  <dcterms:modified xsi:type="dcterms:W3CDTF">2025-03-05T16:00:22Z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0x010100A42150DA7EBAE146A0008195A4976989</vt:lpwstr>
  </property>
  <property fmtid="{D5CDD505-2E9C-101B-9397-08002B2CF9AE}" pid="3" name="MediaServiceImageTags">
    <vt:lpwstr/>
  </property>
</Properties>
</file>