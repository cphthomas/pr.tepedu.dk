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maspetersen/GIT/sem2.tepedu.dk/files/"/>
    </mc:Choice>
  </mc:AlternateContent>
  <xr:revisionPtr revIDLastSave="0" documentId="13_ncr:1_{EB94F336-BE84-8E4E-A858-2F02EB501874}" xr6:coauthVersionLast="47" xr6:coauthVersionMax="47" xr10:uidLastSave="{00000000-0000-0000-0000-000000000000}"/>
  <bookViews>
    <workbookView xWindow="17100" yWindow="700" windowWidth="17100" windowHeight="21440" xr2:uid="{00000000-000D-0000-FFFF-FFFF00000000}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" l="1"/>
  <c r="I52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N50" i="1"/>
  <c r="N49" i="1"/>
  <c r="N48" i="1"/>
  <c r="N47" i="1"/>
  <c r="N46" i="1"/>
  <c r="N45" i="1"/>
  <c r="N44" i="1"/>
  <c r="M43" i="1"/>
  <c r="L43" i="1"/>
  <c r="K43" i="1"/>
  <c r="J43" i="1"/>
  <c r="I43" i="1"/>
  <c r="H43" i="1"/>
  <c r="G43" i="1"/>
  <c r="F43" i="1"/>
  <c r="E43" i="1"/>
  <c r="D43" i="1"/>
  <c r="C43" i="1"/>
  <c r="B43" i="1"/>
  <c r="N43" i="1" s="1"/>
  <c r="N42" i="1"/>
  <c r="N41" i="1"/>
  <c r="N40" i="1"/>
  <c r="N39" i="1"/>
  <c r="N38" i="1"/>
  <c r="M37" i="1"/>
  <c r="L37" i="1"/>
  <c r="K37" i="1"/>
  <c r="J37" i="1"/>
  <c r="I37" i="1"/>
  <c r="H37" i="1"/>
  <c r="G37" i="1"/>
  <c r="F37" i="1"/>
  <c r="E37" i="1"/>
  <c r="D37" i="1"/>
  <c r="C37" i="1"/>
  <c r="B37" i="1"/>
  <c r="N37" i="1" s="1"/>
  <c r="N36" i="1"/>
  <c r="N35" i="1"/>
  <c r="M34" i="1"/>
  <c r="L34" i="1"/>
  <c r="K34" i="1"/>
  <c r="J34" i="1"/>
  <c r="I34" i="1"/>
  <c r="H34" i="1"/>
  <c r="G34" i="1"/>
  <c r="F34" i="1"/>
  <c r="E34" i="1"/>
  <c r="D34" i="1"/>
  <c r="C34" i="1"/>
  <c r="B34" i="1"/>
  <c r="N34" i="1" s="1"/>
  <c r="N33" i="1"/>
  <c r="N32" i="1"/>
  <c r="N31" i="1"/>
  <c r="N30" i="1"/>
  <c r="N29" i="1"/>
  <c r="N28" i="1"/>
  <c r="M27" i="1"/>
  <c r="L27" i="1"/>
  <c r="K27" i="1"/>
  <c r="J27" i="1"/>
  <c r="I27" i="1"/>
  <c r="H27" i="1"/>
  <c r="G27" i="1"/>
  <c r="F27" i="1"/>
  <c r="E27" i="1"/>
  <c r="D27" i="1"/>
  <c r="C27" i="1"/>
  <c r="B27" i="1"/>
  <c r="N27" i="1" s="1"/>
  <c r="N26" i="1"/>
  <c r="N25" i="1"/>
  <c r="N24" i="1"/>
  <c r="N23" i="1"/>
  <c r="N22" i="1"/>
  <c r="N21" i="1"/>
  <c r="N20" i="1"/>
  <c r="N19" i="1"/>
  <c r="N18" i="1"/>
  <c r="N17" i="1"/>
  <c r="N16" i="1"/>
  <c r="N15" i="1"/>
  <c r="M12" i="1"/>
  <c r="M52" i="1" s="1"/>
  <c r="L12" i="1"/>
  <c r="L52" i="1" s="1"/>
  <c r="K12" i="1"/>
  <c r="K52" i="1" s="1"/>
  <c r="J12" i="1"/>
  <c r="I12" i="1"/>
  <c r="H12" i="1"/>
  <c r="H52" i="1" s="1"/>
  <c r="G12" i="1"/>
  <c r="G52" i="1" s="1"/>
  <c r="F12" i="1"/>
  <c r="F52" i="1" s="1"/>
  <c r="E12" i="1"/>
  <c r="E52" i="1" s="1"/>
  <c r="D12" i="1"/>
  <c r="D52" i="1" s="1"/>
  <c r="C12" i="1"/>
  <c r="C52" i="1" s="1"/>
  <c r="B12" i="1"/>
  <c r="N11" i="1"/>
  <c r="N10" i="1"/>
  <c r="N9" i="1"/>
  <c r="N8" i="1"/>
  <c r="N7" i="1"/>
  <c r="N12" i="1" l="1"/>
  <c r="B52" i="1"/>
  <c r="N5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Skatteberegner Pro</author>
  </authors>
  <commentList>
    <comment ref="A3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Brug denne, når ejendomsskatter allerede er med i din skatteberegning.
Ikke markeret:
• Rækken 'Ejendomsskatter' tælles med som normal boligudgift.
Markeret:
• Rækken 'Ejendomsskatter' fjernes fra boligudgifterne, så beløbet ikke tælles to gange.</t>
        </r>
      </text>
    </comment>
    <comment ref="A4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Denne indstilling ændrer ikke tallene automatisk, men hjælper dig med at vælge korrekt låneydelse.
Ikke markeret:
• Indtast ydelsen efter skat (netto) i budgettet.
Markeret:
• Indtast ydelsen før skat (brutto), fordi rentefradraget håndteres i skatteappen.</t>
        </r>
      </text>
    </comment>
    <comment ref="A7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Synkroniseret fra skatteberegner</t>
        </r>
      </text>
    </comment>
    <comment ref="A8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Renteindtægter og udbytte fra investeringer, bankindlån eller obligationer.</t>
        </r>
      </text>
    </comment>
    <comment ref="A9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Månedlig børne- og ungeydelse fra staten baseret på antal børn og deres alder.</t>
        </r>
      </text>
    </comment>
    <comment ref="A10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Månedligt børnebidrag modtaget fra eks-partner eller anden part.</t>
        </r>
      </text>
    </comment>
    <comment ref="A11" authorId="0" shapeId="0" xr:uid="{00000000-0006-0000-0000-000007000000}">
      <text>
        <r>
          <rPr>
            <sz val="12"/>
            <color theme="1"/>
            <rFont val="Calibri"/>
            <family val="2"/>
            <scheme val="minor"/>
          </rPr>
          <t>Ekstra tilskud eller støtte til børn, f.eks. børnetilskud eller lignende ydelser.</t>
        </r>
      </text>
    </comment>
    <comment ref="A15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Månedlig husleje for lejebolig. Hvis du ejer boligen, skal du ikke udfylde dette felt.</t>
        </r>
      </text>
    </comment>
    <comment ref="A16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Månedlig ydelse på banklån efter skat. Dette er nettoudgiften på lånet efter skattefradrag.</t>
        </r>
      </text>
    </comment>
    <comment ref="A17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Månedlige omkostninger til renovation og affaldshåndtering.</t>
        </r>
      </text>
    </comment>
    <comment ref="A18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Månedlige omkostninger til opvarmning af boligen (fjernvarme, gas, olie, elvarme).</t>
        </r>
      </text>
    </comment>
    <comment ref="A19" authorId="0" shapeId="0" xr:uid="{00000000-0006-0000-0000-00000C000000}">
      <text>
        <r>
          <rPr>
            <sz val="12"/>
            <color theme="1"/>
            <rFont val="Calibri"/>
            <family val="2"/>
            <scheme val="minor"/>
          </rPr>
          <t>Månedlige elregninger til belysning, husholdningsapparater og andet elforbrug.</t>
        </r>
      </text>
    </comment>
    <comment ref="A20" authorId="0" shapeId="0" xr:uid="{00000000-0006-0000-0000-00000D000000}">
      <text>
        <r>
          <rPr>
            <sz val="12"/>
            <color theme="1"/>
            <rFont val="Calibri"/>
            <family val="2"/>
            <scheme val="minor"/>
          </rPr>
          <t>Månedlige vandregninger og eventuelle spildevandsgebyrer.</t>
        </r>
      </text>
    </comment>
    <comment ref="A21" authorId="0" shapeId="0" xr:uid="{00000000-0006-0000-0000-00000E000000}">
      <text>
        <r>
          <rPr>
            <sz val="12"/>
            <color theme="1"/>
            <rFont val="Calibri"/>
            <family val="2"/>
            <scheme val="minor"/>
          </rPr>
          <t>Årlige ejendomsskatter (ejendomsværdiskat og grundskyld). Deles typisk over 12 måneder.</t>
        </r>
      </text>
    </comment>
    <comment ref="A22" authorId="0" shapeId="0" xr:uid="{00000000-0006-0000-0000-00000F000000}">
      <text>
        <r>
          <rPr>
            <sz val="12"/>
            <color theme="1"/>
            <rFont val="Calibri"/>
            <family val="2"/>
            <scheme val="minor"/>
          </rPr>
          <t>Månedlige fællesudgifter i ejerforening eller andelsboligforening (vedligeholdelse, administration, osv.).</t>
        </r>
      </text>
    </comment>
    <comment ref="A23" authorId="0" shapeId="0" xr:uid="{00000000-0006-0000-0000-000010000000}">
      <text>
        <r>
          <rPr>
            <sz val="12"/>
            <color theme="1"/>
            <rFont val="Calibri"/>
            <family val="2"/>
            <scheme val="minor"/>
          </rPr>
          <t>Månedligt kontingent til grundejerforening eller ejerforening.</t>
        </r>
      </text>
    </comment>
    <comment ref="A24" authorId="0" shapeId="0" xr:uid="{00000000-0006-0000-0000-000011000000}">
      <text>
        <r>
          <rPr>
            <sz val="12"/>
            <color theme="1"/>
            <rFont val="Calibri"/>
            <family val="2"/>
            <scheme val="minor"/>
          </rPr>
          <t>Månedlige omkostninger til vedligeholdelse og reparationer af boligen.</t>
        </r>
      </text>
    </comment>
    <comment ref="A25" authorId="0" shapeId="0" xr:uid="{00000000-0006-0000-0000-000012000000}">
      <text>
        <r>
          <rPr>
            <sz val="12"/>
            <color theme="1"/>
            <rFont val="Calibri"/>
            <family val="2"/>
            <scheme val="minor"/>
          </rPr>
          <t>Månedlige forsikringspræmier for boligforsikring (indboforsikring, ejerskifteforsikring, osv.).</t>
        </r>
      </text>
    </comment>
    <comment ref="A26" authorId="0" shapeId="0" xr:uid="{00000000-0006-0000-0000-000013000000}">
      <text>
        <r>
          <rPr>
            <sz val="12"/>
            <color theme="1"/>
            <rFont val="Calibri"/>
            <family val="2"/>
            <scheme val="minor"/>
          </rPr>
          <t>Andre boligrelaterede udgifter, der ikke er dækket af de andre kategorier.</t>
        </r>
      </text>
    </comment>
    <comment ref="A28" authorId="0" shapeId="0" xr:uid="{00000000-0006-0000-0000-000014000000}">
      <text>
        <r>
          <rPr>
            <sz val="12"/>
            <color theme="1"/>
            <rFont val="Calibri"/>
            <family val="2"/>
            <scheme val="minor"/>
          </rPr>
          <t>Månedlige forsikringspræmier for bilforsikring (ansvarsforsikring, kaskoforsikring, osv.).</t>
        </r>
      </text>
    </comment>
    <comment ref="A29" authorId="0" shapeId="0" xr:uid="{00000000-0006-0000-0000-000015000000}">
      <text>
        <r>
          <rPr>
            <sz val="12"/>
            <color theme="1"/>
            <rFont val="Calibri"/>
            <family val="2"/>
            <scheme val="minor"/>
          </rPr>
          <t>Månedlig vægtafgift til bilen. Dette er en skat baseret på bilens vægt.</t>
        </r>
      </text>
    </comment>
    <comment ref="A30" authorId="0" shapeId="0" xr:uid="{00000000-0006-0000-0000-000016000000}">
      <text>
        <r>
          <rPr>
            <sz val="12"/>
            <color theme="1"/>
            <rFont val="Calibri"/>
            <family val="2"/>
            <scheme val="minor"/>
          </rPr>
          <t>Månedlige omkostninger til brændstof (benzin, diesel, el til elbil).</t>
        </r>
      </text>
    </comment>
    <comment ref="A31" authorId="0" shapeId="0" xr:uid="{00000000-0006-0000-0000-000017000000}">
      <text>
        <r>
          <rPr>
            <sz val="12"/>
            <color theme="1"/>
            <rFont val="Calibri"/>
            <family val="2"/>
            <scheme val="minor"/>
          </rPr>
          <t>Månedligt kontingent til FDM (Forenede Danske Motorejere) eller lignende bilorganisationer.</t>
        </r>
      </text>
    </comment>
    <comment ref="A32" authorId="0" shapeId="0" xr:uid="{00000000-0006-0000-0000-000018000000}">
      <text>
        <r>
          <rPr>
            <sz val="12"/>
            <color theme="1"/>
            <rFont val="Calibri"/>
            <family val="2"/>
            <scheme val="minor"/>
          </rPr>
          <t>Månedlig ydelse på billån eller leasingaftale.</t>
        </r>
      </text>
    </comment>
    <comment ref="A33" authorId="0" shapeId="0" xr:uid="{00000000-0006-0000-0000-000019000000}">
      <text>
        <r>
          <rPr>
            <sz val="12"/>
            <color theme="1"/>
            <rFont val="Calibri"/>
            <family val="2"/>
            <scheme val="minor"/>
          </rPr>
          <t>Månedlige omkostninger til vedligeholdelse, reparationer og service af bilen.</t>
        </r>
      </text>
    </comment>
    <comment ref="A35" authorId="0" shapeId="0" xr:uid="{00000000-0006-0000-0000-00001A000000}">
      <text>
        <r>
          <rPr>
            <sz val="12"/>
            <color theme="1"/>
            <rFont val="Calibri"/>
            <family val="2"/>
            <scheme val="minor"/>
          </rPr>
          <t>Månedlige omkostninger til offentlig transport (bus, tog, metro, osv.).</t>
        </r>
      </text>
    </comment>
    <comment ref="A36" authorId="0" shapeId="0" xr:uid="{00000000-0006-0000-0000-00001B000000}">
      <text>
        <r>
          <rPr>
            <sz val="12"/>
            <color theme="1"/>
            <rFont val="Calibri"/>
            <family val="2"/>
            <scheme val="minor"/>
          </rPr>
          <t>Andre transportrelaterede udgifter, der ikke er dækket af de andre kategorier.</t>
        </r>
      </text>
    </comment>
    <comment ref="A38" authorId="0" shapeId="0" xr:uid="{00000000-0006-0000-0000-00001C000000}">
      <text>
        <r>
          <rPr>
            <sz val="12"/>
            <color theme="1"/>
            <rFont val="Calibri"/>
            <family val="2"/>
            <scheme val="minor"/>
          </rPr>
          <t>Månedlige omkostninger til fastnettelefon (landline).</t>
        </r>
      </text>
    </comment>
    <comment ref="A39" authorId="0" shapeId="0" xr:uid="{00000000-0006-0000-0000-00001D000000}">
      <text>
        <r>
          <rPr>
            <sz val="12"/>
            <color theme="1"/>
            <rFont val="Calibri"/>
            <family val="2"/>
            <scheme val="minor"/>
          </rPr>
          <t>Månedlige omkostninger til mobiltelefon og mobilabonnement.</t>
        </r>
      </text>
    </comment>
    <comment ref="A40" authorId="0" shapeId="0" xr:uid="{00000000-0006-0000-0000-00001E000000}">
      <text>
        <r>
          <rPr>
            <sz val="12"/>
            <color theme="1"/>
            <rFont val="Calibri"/>
            <family val="2"/>
            <scheme val="minor"/>
          </rPr>
          <t>Månedlige omkostninger til internetforbindelse (bredbånd, fiber, osv.).</t>
        </r>
      </text>
    </comment>
    <comment ref="A41" authorId="0" shapeId="0" xr:uid="{00000000-0006-0000-0000-00001F000000}">
      <text>
        <r>
          <rPr>
            <sz val="12"/>
            <color theme="1"/>
            <rFont val="Calibri"/>
            <family val="2"/>
            <scheme val="minor"/>
          </rPr>
          <t>Månedlige omkostninger til kabel-TV, streamingtjenester eller hybridnet.</t>
        </r>
      </text>
    </comment>
    <comment ref="A42" authorId="0" shapeId="0" xr:uid="{00000000-0006-0000-0000-000020000000}">
      <text>
        <r>
          <rPr>
            <sz val="12"/>
            <color theme="1"/>
            <rFont val="Calibri"/>
            <family val="2"/>
            <scheme val="minor"/>
          </rPr>
          <t>Andre kommunikations- og TV-relaterede udgifter.</t>
        </r>
      </text>
    </comment>
    <comment ref="A44" authorId="0" shapeId="0" xr:uid="{00000000-0006-0000-0000-000021000000}">
      <text>
        <r>
          <rPr>
            <sz val="12"/>
            <color theme="1"/>
            <rFont val="Calibri"/>
            <family val="2"/>
            <scheme val="minor"/>
          </rPr>
          <t>Månedligt kontingent til A-kasse (arbejdsløshedsforsikring).</t>
        </r>
      </text>
    </comment>
    <comment ref="A45" authorId="0" shapeId="0" xr:uid="{00000000-0006-0000-0000-000022000000}">
      <text>
        <r>
          <rPr>
            <sz val="12"/>
            <color theme="1"/>
            <rFont val="Calibri"/>
            <family val="2"/>
            <scheme val="minor"/>
          </rPr>
          <t>Månedligt kontingent til fagforening.</t>
        </r>
      </text>
    </comment>
    <comment ref="A46" authorId="0" shapeId="0" xr:uid="{00000000-0006-0000-0000-000023000000}">
      <text>
        <r>
          <rPr>
            <sz val="12"/>
            <color theme="1"/>
            <rFont val="Calibri"/>
            <family val="2"/>
            <scheme val="minor"/>
          </rPr>
          <t>Månedlige præmier for familieforsikring (livsforsikring, invaliditetsforsikring, osv.).</t>
        </r>
      </text>
    </comment>
    <comment ref="A47" authorId="0" shapeId="0" xr:uid="{00000000-0006-0000-0000-000024000000}">
      <text>
        <r>
          <rPr>
            <sz val="12"/>
            <color theme="1"/>
            <rFont val="Calibri"/>
            <family val="2"/>
            <scheme val="minor"/>
          </rPr>
          <t>Månedlige præmier for ulykkesforsikring.</t>
        </r>
      </text>
    </comment>
    <comment ref="A48" authorId="0" shapeId="0" xr:uid="{00000000-0006-0000-0000-000025000000}">
      <text>
        <r>
          <rPr>
            <sz val="12"/>
            <color theme="1"/>
            <rFont val="Calibri"/>
            <family val="2"/>
            <scheme val="minor"/>
          </rPr>
          <t>Månedligt kontingent til Sygeforsikring Danmark eller lignende sundhedsforsikringer.</t>
        </r>
      </text>
    </comment>
    <comment ref="A49" authorId="0" shapeId="0" xr:uid="{00000000-0006-0000-0000-000026000000}">
      <text>
        <r>
          <rPr>
            <sz val="12"/>
            <color theme="1"/>
            <rFont val="Calibri"/>
            <family val="2"/>
            <scheme val="minor"/>
          </rPr>
          <t>Månedlige omkostninger til receptpligtig medicin og lægemidler.</t>
        </r>
      </text>
    </comment>
    <comment ref="A50" authorId="0" shapeId="0" xr:uid="{00000000-0006-0000-0000-000027000000}">
      <text>
        <r>
          <rPr>
            <sz val="12"/>
            <color theme="1"/>
            <rFont val="Calibri"/>
            <family val="2"/>
            <scheme val="minor"/>
          </rPr>
          <t>Andre forsikrings- og sundhedsrelaterede udgifter.</t>
        </r>
      </text>
    </comment>
  </commentList>
</comments>
</file>

<file path=xl/sharedStrings.xml><?xml version="1.0" encoding="utf-8"?>
<sst xmlns="http://schemas.openxmlformats.org/spreadsheetml/2006/main" count="468" uniqueCount="63">
  <si>
    <t>Post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</si>
  <si>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</si>
  <si>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</si>
  <si>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</si>
  <si>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</si>
  <si>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</si>
  <si>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</si>
  <si>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</si>
  <si>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</si>
  <si>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</si>
  <si>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</si>
  <si>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</si>
  <si>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</si>
  <si>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TOTAL</t>
  </si>
  <si>
    <t>INDSTILLINGER</t>
  </si>
  <si>
    <t/>
  </si>
  <si>
    <t>Ejendomsskatter beregnes i skatteapp</t>
  </si>
  <si>
    <t>Nej</t>
  </si>
  <si>
    <t>Renteudgifter med i skatteapp</t>
  </si>
  <si>
    <t>INDTÆGTER</t>
  </si>
  <si>
    <t>Løn, efter skat</t>
  </si>
  <si>
    <t>Renter/udbytte</t>
  </si>
  <si>
    <t>Børne- og ungeydelse</t>
  </si>
  <si>
    <t>Børnebidrag</t>
  </si>
  <si>
    <t>Børnetilskud</t>
  </si>
  <si>
    <t>Indtægter i alt</t>
  </si>
  <si>
    <t>UDGIFTER</t>
  </si>
  <si>
    <t>Bolig</t>
  </si>
  <si>
    <t>Husleje</t>
  </si>
  <si>
    <t>Banklån, ydelse efter skat</t>
  </si>
  <si>
    <t>Renovation</t>
  </si>
  <si>
    <t>Varme</t>
  </si>
  <si>
    <t>Elektricitet</t>
  </si>
  <si>
    <t>Vand</t>
  </si>
  <si>
    <t>Ejendomsskatter</t>
  </si>
  <si>
    <t>Fællesudgifter</t>
  </si>
  <si>
    <t>Grundejerforening</t>
  </si>
  <si>
    <t>Vedligeholdelse</t>
  </si>
  <si>
    <t>Hus forsikring</t>
  </si>
  <si>
    <t>Diverse</t>
  </si>
  <si>
    <t>Bolig i alt</t>
  </si>
  <si>
    <t>Forsikring</t>
  </si>
  <si>
    <t>Vægtafgift</t>
  </si>
  <si>
    <t>Benzin</t>
  </si>
  <si>
    <t>FDM</t>
  </si>
  <si>
    <t>Billån</t>
  </si>
  <si>
    <t>Vedligehold/reparation</t>
  </si>
  <si>
    <t>Biludgifter i alt</t>
  </si>
  <si>
    <t>Offentlig transport</t>
  </si>
  <si>
    <t>Transport i alt</t>
  </si>
  <si>
    <t>Fastnettelefon</t>
  </si>
  <si>
    <t>Mobiltelefon</t>
  </si>
  <si>
    <t>Internet</t>
  </si>
  <si>
    <t>Hybridnet/kabel-TV</t>
  </si>
  <si>
    <t>Kommun./TV i alt</t>
  </si>
  <si>
    <t>A-kasse</t>
  </si>
  <si>
    <t>Fagforening</t>
  </si>
  <si>
    <t>Familieforsikring</t>
  </si>
  <si>
    <t>Ulykkesforsikring</t>
  </si>
  <si>
    <t>Sygeforsikring Danmark</t>
  </si>
  <si>
    <t>Receptpligtig medecin</t>
  </si>
  <si>
    <t>Udgifter i alt</t>
  </si>
  <si>
    <t>Rådighedsbeløb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</si>
</sst>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&quot;kr.&quot;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5" workbookViewId="0">
      <selection activeCell="F18" sqref="F18"/>
    </sheetView>
  </sheetViews>
  <sheetFormatPr baseColWidth="10" defaultRowHeight="16" x14ac:dyDescent="0.2"/>
  <cols>
    <col min="1" max="1" width="30.83203125" customWidth="1"/>
    <col min="2" max="13" width="12.83203125" customWidth="1"/>
    <col min="14" max="14" width="15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">
      <c r="A3" t="s">
        <v>16</v>
      </c>
      <c r="B3" t="s">
        <v>17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">
      <c r="A4" t="s">
        <v>18</v>
      </c>
      <c r="B4" t="s">
        <v>17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 x14ac:dyDescent="0.2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2">
      <c r="A6" t="s">
        <v>19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 x14ac:dyDescent="0.2">
      <c r="A7" t="s">
        <v>20</v>
      </c>
      <c r="B7" s="1">
        <v>30887</v>
      </c>
      <c r="C7" s="1">
        <v>30887</v>
      </c>
      <c r="D7" s="1">
        <v>30887</v>
      </c>
      <c r="E7" s="1">
        <v>30887</v>
      </c>
      <c r="F7" s="1">
        <v>30887</v>
      </c>
      <c r="G7" s="1">
        <v>30887</v>
      </c>
      <c r="H7" s="1">
        <v>30887</v>
      </c>
      <c r="I7" s="1">
        <v>30887</v>
      </c>
      <c r="J7" s="1">
        <v>30887</v>
      </c>
      <c r="K7" s="1">
        <v>30887</v>
      </c>
      <c r="L7" s="1">
        <v>30887</v>
      </c>
      <c r="M7" s="1">
        <v>30887</v>
      </c>
      <c r="N7" s="1">
        <f t="shared" ref="N7:N12" si="0">SUM(B7:M7)</f>
        <v>370644</v>
      </c>
    </row>
    <row r="8" spans="1:14" x14ac:dyDescent="0.2">
      <c r="A8" t="s">
        <v>21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s="1">
        <f t="shared" si="0"/>
        <v>0</v>
      </c>
    </row>
    <row r="9" spans="1:14" x14ac:dyDescent="0.2">
      <c r="A9" t="s">
        <v>22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s="1">
        <f t="shared" si="0"/>
        <v>0</v>
      </c>
    </row>
    <row r="10" spans="1:14" x14ac:dyDescent="0.2">
      <c r="A10" t="s">
        <v>23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s="1">
        <f t="shared" si="0"/>
        <v>0</v>
      </c>
    </row>
    <row r="11" spans="1:14" x14ac:dyDescent="0.2">
      <c r="A11" t="s">
        <v>24</v>
      </c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s="1">
        <f t="shared" si="0"/>
        <v>0</v>
      </c>
    </row>
    <row r="12" spans="1:14" x14ac:dyDescent="0.2">
      <c r="A12" t="s">
        <v>25</v>
      </c>
      <c r="B12" s="1">
        <f t="shared" ref="B12:M12" si="1">SUM(B7:B11)</f>
        <v>30887</v>
      </c>
      <c r="C12" s="1">
        <f t="shared" si="1"/>
        <v>30887</v>
      </c>
      <c r="D12" s="1">
        <f t="shared" si="1"/>
        <v>30887</v>
      </c>
      <c r="E12" s="1">
        <f t="shared" si="1"/>
        <v>30887</v>
      </c>
      <c r="F12" s="1">
        <f t="shared" si="1"/>
        <v>30887</v>
      </c>
      <c r="G12" s="1">
        <f t="shared" si="1"/>
        <v>30887</v>
      </c>
      <c r="H12" s="1">
        <f t="shared" si="1"/>
        <v>30887</v>
      </c>
      <c r="I12" s="1">
        <f t="shared" si="1"/>
        <v>30887</v>
      </c>
      <c r="J12" s="1">
        <f t="shared" si="1"/>
        <v>30887</v>
      </c>
      <c r="K12" s="1">
        <f t="shared" si="1"/>
        <v>30887</v>
      </c>
      <c r="L12" s="1">
        <f t="shared" si="1"/>
        <v>30887</v>
      </c>
      <c r="M12" s="1">
        <f t="shared" si="1"/>
        <v>30887</v>
      </c>
      <c r="N12" s="1">
        <f t="shared" si="0"/>
        <v>370644</v>
      </c>
    </row>
    <row r="13" spans="1:14" x14ac:dyDescent="0.2">
      <c r="A13" t="s">
        <v>26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 x14ac:dyDescent="0.2">
      <c r="A14" t="s">
        <v>27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2">
      <c r="A15" t="s">
        <v>28</v>
      </c>
      <c r="B15" s="1">
        <v>10000</v>
      </c>
      <c r="C15" s="1">
        <v>10000</v>
      </c>
      <c r="D15" s="1">
        <v>10000</v>
      </c>
      <c r="E15" s="1">
        <v>10000</v>
      </c>
      <c r="F15" s="1">
        <v>10000</v>
      </c>
      <c r="G15" s="1">
        <v>10000</v>
      </c>
      <c r="H15" s="1">
        <v>10000</v>
      </c>
      <c r="I15" s="1">
        <v>10000</v>
      </c>
      <c r="J15" s="1">
        <v>10000</v>
      </c>
      <c r="K15" s="1">
        <v>10000</v>
      </c>
      <c r="L15" s="1">
        <v>10000</v>
      </c>
      <c r="M15" s="1">
        <v>10000</v>
      </c>
      <c r="N15" s="1">
        <f t="shared" ref="N15:N50" si="2">SUM(B15:M15)</f>
        <v>120000</v>
      </c>
    </row>
    <row r="16" spans="1:14" x14ac:dyDescent="0.2">
      <c r="A16" t="s">
        <v>29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s="1">
        <f t="shared" si="2"/>
        <v>0</v>
      </c>
    </row>
    <row r="17" spans="1:14" x14ac:dyDescent="0.2">
      <c r="A17" t="s">
        <v>30</v>
      </c>
      <c r="B17" t="s">
        <v>15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s="1">
        <f t="shared" si="2"/>
        <v>0</v>
      </c>
    </row>
    <row r="18" spans="1:14" x14ac:dyDescent="0.2">
      <c r="A18" t="s">
        <v>31</v>
      </c>
      <c r="B18" s="1">
        <v>900</v>
      </c>
      <c r="C18" s="1">
        <v>900</v>
      </c>
      <c r="D18" s="1">
        <v>900</v>
      </c>
      <c r="E18" s="1">
        <v>900</v>
      </c>
      <c r="F18" s="1">
        <v>900</v>
      </c>
      <c r="G18" s="1">
        <v>900</v>
      </c>
      <c r="H18" s="1">
        <v>900</v>
      </c>
      <c r="I18" s="1">
        <v>900</v>
      </c>
      <c r="J18" s="1">
        <v>900</v>
      </c>
      <c r="K18" s="1">
        <v>900</v>
      </c>
      <c r="L18" s="1">
        <v>900</v>
      </c>
      <c r="M18" s="1">
        <v>900</v>
      </c>
      <c r="N18" s="1">
        <f t="shared" si="2"/>
        <v>10800</v>
      </c>
    </row>
    <row r="19" spans="1:14" x14ac:dyDescent="0.2">
      <c r="A19" t="s">
        <v>32</v>
      </c>
      <c r="B19" s="1">
        <v>400</v>
      </c>
      <c r="C19" s="1">
        <v>400</v>
      </c>
      <c r="D19" s="1">
        <v>400</v>
      </c>
      <c r="E19" s="1">
        <v>400</v>
      </c>
      <c r="F19" s="1">
        <v>400</v>
      </c>
      <c r="G19" s="1">
        <v>400</v>
      </c>
      <c r="H19" s="1">
        <v>400</v>
      </c>
      <c r="I19" s="1">
        <v>400</v>
      </c>
      <c r="J19" s="1">
        <v>400</v>
      </c>
      <c r="K19" s="1">
        <v>400</v>
      </c>
      <c r="L19" s="1">
        <v>400</v>
      </c>
      <c r="M19" s="1">
        <v>400</v>
      </c>
      <c r="N19" s="1">
        <f t="shared" si="2"/>
        <v>4800</v>
      </c>
    </row>
    <row r="20" spans="1:14" x14ac:dyDescent="0.2">
      <c r="A20" t="s">
        <v>33</v>
      </c>
      <c r="B20" t="s">
        <v>15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s="1">
        <f t="shared" si="2"/>
        <v>0</v>
      </c>
    </row>
    <row r="21" spans="1:14" x14ac:dyDescent="0.2">
      <c r="A21" t="s">
        <v>34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s="1">
        <f t="shared" si="2"/>
        <v>0</v>
      </c>
    </row>
    <row r="22" spans="1:14" x14ac:dyDescent="0.2">
      <c r="A22" t="s">
        <v>35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s="1">
        <f t="shared" si="2"/>
        <v>0</v>
      </c>
    </row>
    <row r="23" spans="1:14" x14ac:dyDescent="0.2">
      <c r="A23" t="s">
        <v>36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s="1">
        <f t="shared" si="2"/>
        <v>0</v>
      </c>
    </row>
    <row r="24" spans="1:14" x14ac:dyDescent="0.2">
      <c r="A24" t="s">
        <v>37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s="1">
        <f t="shared" si="2"/>
        <v>0</v>
      </c>
    </row>
    <row r="25" spans="1:14" x14ac:dyDescent="0.2">
      <c r="A25" t="s">
        <v>38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s="1">
        <f t="shared" si="2"/>
        <v>0</v>
      </c>
    </row>
    <row r="26" spans="1:14" x14ac:dyDescent="0.2">
      <c r="A26" t="s">
        <v>39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s="1">
        <f t="shared" si="2"/>
        <v>0</v>
      </c>
    </row>
    <row r="27" spans="1:14" x14ac:dyDescent="0.2">
      <c r="A27" t="s">
        <v>40</v>
      </c>
      <c r="B27" s="1">
        <f t="shared" ref="B27:M27" si="3">SUM(B15:B26)</f>
        <v>11300</v>
      </c>
      <c r="C27" s="1">
        <f t="shared" si="3"/>
        <v>11300</v>
      </c>
      <c r="D27" s="1">
        <f t="shared" si="3"/>
        <v>11300</v>
      </c>
      <c r="E27" s="1">
        <f t="shared" si="3"/>
        <v>11300</v>
      </c>
      <c r="F27" s="1">
        <f t="shared" si="3"/>
        <v>11300</v>
      </c>
      <c r="G27" s="1">
        <f t="shared" si="3"/>
        <v>11300</v>
      </c>
      <c r="H27" s="1">
        <f t="shared" si="3"/>
        <v>11300</v>
      </c>
      <c r="I27" s="1">
        <f t="shared" si="3"/>
        <v>11300</v>
      </c>
      <c r="J27" s="1">
        <f t="shared" si="3"/>
        <v>11300</v>
      </c>
      <c r="K27" s="1">
        <f t="shared" si="3"/>
        <v>11300</v>
      </c>
      <c r="L27" s="1">
        <f t="shared" si="3"/>
        <v>11300</v>
      </c>
      <c r="M27" s="1">
        <f t="shared" si="3"/>
        <v>11300</v>
      </c>
      <c r="N27" s="1">
        <f t="shared" si="2"/>
        <v>135600</v>
      </c>
    </row>
    <row r="28" spans="1:14" x14ac:dyDescent="0.2">
      <c r="A28" t="s">
        <v>41</v>
      </c>
      <c r="B28" t="s">
        <v>15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  <c r="M28" t="s">
        <v>15</v>
      </c>
      <c r="N28" s="1">
        <f t="shared" si="2"/>
        <v>0</v>
      </c>
    </row>
    <row r="29" spans="1:14" x14ac:dyDescent="0.2">
      <c r="A29" t="s">
        <v>42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s="1">
        <f t="shared" si="2"/>
        <v>0</v>
      </c>
    </row>
    <row r="30" spans="1:14" x14ac:dyDescent="0.2">
      <c r="A30" t="s">
        <v>43</v>
      </c>
      <c r="B30" t="s">
        <v>15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s="1">
        <f t="shared" si="2"/>
        <v>0</v>
      </c>
    </row>
    <row r="31" spans="1:14" x14ac:dyDescent="0.2">
      <c r="A31" t="s">
        <v>44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s="1">
        <f t="shared" si="2"/>
        <v>0</v>
      </c>
    </row>
    <row r="32" spans="1:14" x14ac:dyDescent="0.2">
      <c r="A32" t="s">
        <v>45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s="1">
        <f t="shared" si="2"/>
        <v>0</v>
      </c>
    </row>
    <row r="33" spans="1:14" x14ac:dyDescent="0.2">
      <c r="A33" t="s">
        <v>46</v>
      </c>
      <c r="B33" t="s">
        <v>15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s="1">
        <f t="shared" si="2"/>
        <v>0</v>
      </c>
    </row>
    <row r="34" spans="1:14" x14ac:dyDescent="0.2">
      <c r="A34" t="s">
        <v>47</v>
      </c>
      <c r="B34" s="1">
        <f t="shared" ref="B34:M34" si="4">SUM(B28:B33)</f>
        <v>0</v>
      </c>
      <c r="C34" s="1">
        <f t="shared" si="4"/>
        <v>0</v>
      </c>
      <c r="D34" s="1">
        <f t="shared" si="4"/>
        <v>0</v>
      </c>
      <c r="E34" s="1">
        <f t="shared" si="4"/>
        <v>0</v>
      </c>
      <c r="F34" s="1">
        <f t="shared" si="4"/>
        <v>0</v>
      </c>
      <c r="G34" s="1">
        <f t="shared" si="4"/>
        <v>0</v>
      </c>
      <c r="H34" s="1">
        <f t="shared" si="4"/>
        <v>0</v>
      </c>
      <c r="I34" s="1">
        <f t="shared" si="4"/>
        <v>0</v>
      </c>
      <c r="J34" s="1">
        <f t="shared" si="4"/>
        <v>0</v>
      </c>
      <c r="K34" s="1">
        <f t="shared" si="4"/>
        <v>0</v>
      </c>
      <c r="L34" s="1">
        <f t="shared" si="4"/>
        <v>0</v>
      </c>
      <c r="M34" s="1">
        <f t="shared" si="4"/>
        <v>0</v>
      </c>
      <c r="N34" s="1">
        <f t="shared" si="2"/>
        <v>0</v>
      </c>
    </row>
    <row r="35" spans="1:14" x14ac:dyDescent="0.2">
      <c r="A35" t="s">
        <v>48</v>
      </c>
      <c r="B35" s="1">
        <v>500</v>
      </c>
      <c r="C35" s="1">
        <v>500</v>
      </c>
      <c r="D35" s="1">
        <v>500</v>
      </c>
      <c r="E35" s="1">
        <v>500</v>
      </c>
      <c r="F35" s="1">
        <v>500</v>
      </c>
      <c r="G35" s="1">
        <v>500</v>
      </c>
      <c r="H35" s="1">
        <v>500</v>
      </c>
      <c r="I35" s="1">
        <v>500</v>
      </c>
      <c r="J35" s="1">
        <v>500</v>
      </c>
      <c r="K35" s="1">
        <v>500</v>
      </c>
      <c r="L35" s="1">
        <v>500</v>
      </c>
      <c r="M35" s="1">
        <v>500</v>
      </c>
      <c r="N35" s="1">
        <f t="shared" si="2"/>
        <v>6000</v>
      </c>
    </row>
    <row r="36" spans="1:14" x14ac:dyDescent="0.2">
      <c r="A36" t="s">
        <v>39</v>
      </c>
      <c r="B36" t="s">
        <v>15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s="1">
        <f t="shared" si="2"/>
        <v>0</v>
      </c>
    </row>
    <row r="37" spans="1:14" x14ac:dyDescent="0.2">
      <c r="A37" t="s">
        <v>49</v>
      </c>
      <c r="B37" s="1">
        <f t="shared" ref="B37:M37" si="5">SUM(B35:B36)</f>
        <v>500</v>
      </c>
      <c r="C37" s="1">
        <f t="shared" si="5"/>
        <v>500</v>
      </c>
      <c r="D37" s="1">
        <f t="shared" si="5"/>
        <v>500</v>
      </c>
      <c r="E37" s="1">
        <f t="shared" si="5"/>
        <v>500</v>
      </c>
      <c r="F37" s="1">
        <f t="shared" si="5"/>
        <v>500</v>
      </c>
      <c r="G37" s="1">
        <f t="shared" si="5"/>
        <v>500</v>
      </c>
      <c r="H37" s="1">
        <f t="shared" si="5"/>
        <v>500</v>
      </c>
      <c r="I37" s="1">
        <f t="shared" si="5"/>
        <v>500</v>
      </c>
      <c r="J37" s="1">
        <f t="shared" si="5"/>
        <v>500</v>
      </c>
      <c r="K37" s="1">
        <f t="shared" si="5"/>
        <v>500</v>
      </c>
      <c r="L37" s="1">
        <f t="shared" si="5"/>
        <v>500</v>
      </c>
      <c r="M37" s="1">
        <f t="shared" si="5"/>
        <v>500</v>
      </c>
      <c r="N37" s="1">
        <f t="shared" si="2"/>
        <v>6000</v>
      </c>
    </row>
    <row r="38" spans="1:14" x14ac:dyDescent="0.2">
      <c r="A38" t="s">
        <v>50</v>
      </c>
      <c r="B38" t="s">
        <v>15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s="1">
        <f t="shared" si="2"/>
        <v>0</v>
      </c>
    </row>
    <row r="39" spans="1:14" x14ac:dyDescent="0.2">
      <c r="A39" t="s">
        <v>51</v>
      </c>
      <c r="B39" s="1">
        <v>150</v>
      </c>
      <c r="C39" s="1">
        <v>150</v>
      </c>
      <c r="D39" s="1">
        <v>150</v>
      </c>
      <c r="E39" s="1">
        <v>150</v>
      </c>
      <c r="F39" s="1">
        <v>150</v>
      </c>
      <c r="G39" s="1">
        <v>150</v>
      </c>
      <c r="H39" s="1">
        <v>150</v>
      </c>
      <c r="I39" s="1">
        <v>150</v>
      </c>
      <c r="J39" s="1">
        <v>150</v>
      </c>
      <c r="K39" s="1">
        <v>150</v>
      </c>
      <c r="L39" s="1">
        <v>150</v>
      </c>
      <c r="M39" s="1">
        <v>150</v>
      </c>
      <c r="N39" s="1">
        <f t="shared" si="2"/>
        <v>1800</v>
      </c>
    </row>
    <row r="40" spans="1:14" x14ac:dyDescent="0.2">
      <c r="A40" t="s">
        <v>52</v>
      </c>
      <c r="B40" s="1">
        <v>350</v>
      </c>
      <c r="C40" s="1">
        <v>350</v>
      </c>
      <c r="D40" s="1">
        <v>350</v>
      </c>
      <c r="E40" s="1">
        <v>350</v>
      </c>
      <c r="F40" s="1">
        <v>350</v>
      </c>
      <c r="G40" s="1">
        <v>350</v>
      </c>
      <c r="H40" s="1">
        <v>350</v>
      </c>
      <c r="I40" s="1">
        <v>350</v>
      </c>
      <c r="J40" s="1">
        <v>350</v>
      </c>
      <c r="K40" s="1">
        <v>350</v>
      </c>
      <c r="L40" s="1">
        <v>350</v>
      </c>
      <c r="M40" s="1">
        <v>350</v>
      </c>
      <c r="N40" s="1">
        <f t="shared" si="2"/>
        <v>4200</v>
      </c>
    </row>
    <row r="41" spans="1:14" x14ac:dyDescent="0.2">
      <c r="A41" t="s">
        <v>53</v>
      </c>
      <c r="B41" s="1">
        <v>200</v>
      </c>
      <c r="C41" s="1">
        <v>200</v>
      </c>
      <c r="D41" s="1">
        <v>200</v>
      </c>
      <c r="E41" s="1">
        <v>200</v>
      </c>
      <c r="F41" s="1">
        <v>200</v>
      </c>
      <c r="G41" s="1">
        <v>200</v>
      </c>
      <c r="H41" s="1">
        <v>200</v>
      </c>
      <c r="I41" s="1">
        <v>200</v>
      </c>
      <c r="J41" s="1">
        <v>200</v>
      </c>
      <c r="K41" s="1">
        <v>200</v>
      </c>
      <c r="L41" s="1">
        <v>200</v>
      </c>
      <c r="M41" s="1">
        <v>200</v>
      </c>
      <c r="N41" s="1">
        <f t="shared" si="2"/>
        <v>2400</v>
      </c>
    </row>
    <row r="42" spans="1:14" x14ac:dyDescent="0.2">
      <c r="A42" t="s">
        <v>39</v>
      </c>
      <c r="B42" s="1">
        <v>300</v>
      </c>
      <c r="C42" s="1">
        <v>300</v>
      </c>
      <c r="D42" s="1">
        <v>300</v>
      </c>
      <c r="E42" s="1">
        <v>300</v>
      </c>
      <c r="F42" s="1">
        <v>300</v>
      </c>
      <c r="G42" s="1">
        <v>300</v>
      </c>
      <c r="H42" s="1">
        <v>300</v>
      </c>
      <c r="I42" s="1">
        <v>300</v>
      </c>
      <c r="J42" s="1">
        <v>300</v>
      </c>
      <c r="K42" s="1">
        <v>300</v>
      </c>
      <c r="L42" s="1">
        <v>300</v>
      </c>
      <c r="M42" s="1">
        <v>300</v>
      </c>
      <c r="N42" s="1">
        <f t="shared" si="2"/>
        <v>3600</v>
      </c>
    </row>
    <row r="43" spans="1:14" x14ac:dyDescent="0.2">
      <c r="A43" t="s">
        <v>54</v>
      </c>
      <c r="B43" s="1">
        <f t="shared" ref="B43:M43" si="6">SUM(B38:B42)</f>
        <v>1000</v>
      </c>
      <c r="C43" s="1">
        <f t="shared" si="6"/>
        <v>1000</v>
      </c>
      <c r="D43" s="1">
        <f t="shared" si="6"/>
        <v>1000</v>
      </c>
      <c r="E43" s="1">
        <f t="shared" si="6"/>
        <v>1000</v>
      </c>
      <c r="F43" s="1">
        <f t="shared" si="6"/>
        <v>1000</v>
      </c>
      <c r="G43" s="1">
        <f t="shared" si="6"/>
        <v>1000</v>
      </c>
      <c r="H43" s="1">
        <f t="shared" si="6"/>
        <v>1000</v>
      </c>
      <c r="I43" s="1">
        <f t="shared" si="6"/>
        <v>1000</v>
      </c>
      <c r="J43" s="1">
        <f t="shared" si="6"/>
        <v>1000</v>
      </c>
      <c r="K43" s="1">
        <f t="shared" si="6"/>
        <v>1000</v>
      </c>
      <c r="L43" s="1">
        <f t="shared" si="6"/>
        <v>1000</v>
      </c>
      <c r="M43" s="1">
        <f t="shared" si="6"/>
        <v>1000</v>
      </c>
      <c r="N43" s="1">
        <f t="shared" si="2"/>
        <v>12000</v>
      </c>
    </row>
    <row r="44" spans="1:14" x14ac:dyDescent="0.2">
      <c r="A44" t="s">
        <v>55</v>
      </c>
      <c r="B44" t="s">
        <v>15</v>
      </c>
      <c r="C44" t="s">
        <v>15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s="1">
        <f t="shared" si="2"/>
        <v>0</v>
      </c>
    </row>
    <row r="45" spans="1:14" x14ac:dyDescent="0.2">
      <c r="A45" t="s">
        <v>56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s="1">
        <f t="shared" si="2"/>
        <v>0</v>
      </c>
    </row>
    <row r="46" spans="1:14" x14ac:dyDescent="0.2">
      <c r="A46" t="s">
        <v>57</v>
      </c>
      <c r="B46" s="1">
        <v>150</v>
      </c>
      <c r="C46" s="1">
        <v>150</v>
      </c>
      <c r="D46" s="1">
        <v>150</v>
      </c>
      <c r="E46" s="1">
        <v>150</v>
      </c>
      <c r="F46" s="1">
        <v>150</v>
      </c>
      <c r="G46" s="1">
        <v>150</v>
      </c>
      <c r="H46" s="1">
        <v>150</v>
      </c>
      <c r="I46" s="1">
        <v>150</v>
      </c>
      <c r="J46" s="1">
        <v>150</v>
      </c>
      <c r="K46" s="1">
        <v>150</v>
      </c>
      <c r="L46" s="1">
        <v>150</v>
      </c>
      <c r="M46" s="1">
        <v>150</v>
      </c>
      <c r="N46" s="1">
        <f t="shared" si="2"/>
        <v>1800</v>
      </c>
    </row>
    <row r="47" spans="1:14" x14ac:dyDescent="0.2">
      <c r="A47" t="s">
        <v>58</v>
      </c>
      <c r="B47" s="1">
        <v>150</v>
      </c>
      <c r="C47" s="1">
        <v>150</v>
      </c>
      <c r="D47" s="1">
        <v>150</v>
      </c>
      <c r="E47" s="1">
        <v>150</v>
      </c>
      <c r="F47" s="1">
        <v>150</v>
      </c>
      <c r="G47" s="1">
        <v>150</v>
      </c>
      <c r="H47" s="1">
        <v>150</v>
      </c>
      <c r="I47" s="1">
        <v>150</v>
      </c>
      <c r="J47" s="1">
        <v>150</v>
      </c>
      <c r="K47" s="1">
        <v>150</v>
      </c>
      <c r="L47" s="1">
        <v>150</v>
      </c>
      <c r="M47" s="1">
        <v>150</v>
      </c>
      <c r="N47" s="1">
        <f t="shared" si="2"/>
        <v>1800</v>
      </c>
    </row>
    <row r="48" spans="1:14" x14ac:dyDescent="0.2">
      <c r="A48" t="s">
        <v>59</v>
      </c>
      <c r="B48" t="s">
        <v>15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s="1">
        <f t="shared" si="2"/>
        <v>0</v>
      </c>
    </row>
    <row r="49" spans="1:14" x14ac:dyDescent="0.2">
      <c r="A49" t="s">
        <v>60</v>
      </c>
      <c r="B49" t="s">
        <v>15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s="1">
        <f t="shared" si="2"/>
        <v>0</v>
      </c>
    </row>
    <row r="50" spans="1:14" x14ac:dyDescent="0.2">
      <c r="A50" t="s">
        <v>39</v>
      </c>
      <c r="B50" t="s">
        <v>15</v>
      </c>
      <c r="C50" t="s">
        <v>15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s="1">
        <f t="shared" si="2"/>
        <v>0</v>
      </c>
    </row>
    <row r="51" spans="1:14" x14ac:dyDescent="0.2">
      <c r="A51" t="s">
        <v>61</v>
      </c>
      <c r="B51" s="1">
        <f t="shared" ref="B51:M51" si="7">SUM(B15,B16,B17,B18,B19,B20,B21,B22,B23,B24,B25,B26,B28,B29,B30,B31,B32,B33,B35,B36,B38,B39,B40,B41,B42,B44,B45,B46,B47,B48,B49,B50)</f>
        <v>13100</v>
      </c>
      <c r="C51" s="1">
        <f t="shared" si="7"/>
        <v>13100</v>
      </c>
      <c r="D51" s="1">
        <f t="shared" si="7"/>
        <v>13100</v>
      </c>
      <c r="E51" s="1">
        <f t="shared" si="7"/>
        <v>13100</v>
      </c>
      <c r="F51" s="1">
        <f t="shared" si="7"/>
        <v>13100</v>
      </c>
      <c r="G51" s="1">
        <f t="shared" si="7"/>
        <v>13100</v>
      </c>
      <c r="H51" s="1">
        <f t="shared" si="7"/>
        <v>13100</v>
      </c>
      <c r="I51" s="1">
        <f t="shared" si="7"/>
        <v>13100</v>
      </c>
      <c r="J51" s="1">
        <f t="shared" si="7"/>
        <v>13100</v>
      </c>
      <c r="K51" s="1">
        <f t="shared" si="7"/>
        <v>13100</v>
      </c>
      <c r="L51" s="1">
        <f t="shared" si="7"/>
        <v>13100</v>
      </c>
      <c r="M51" s="1">
        <f t="shared" si="7"/>
        <v>13100</v>
      </c>
      <c r="N51" s="1">
        <f>SUM(B51,C51,D51,E51,F51,G51,H51,I51,J51,K51,L51,M51)</f>
        <v>157200</v>
      </c>
    </row>
    <row r="52" spans="1:14" x14ac:dyDescent="0.2">
      <c r="A52" t="s">
        <v>62</v>
      </c>
      <c r="B52" s="1">
        <f t="shared" ref="B52:M52" si="8">B12-B51</f>
        <v>17787</v>
      </c>
      <c r="C52" s="1">
        <f t="shared" si="8"/>
        <v>17787</v>
      </c>
      <c r="D52" s="1">
        <f t="shared" si="8"/>
        <v>17787</v>
      </c>
      <c r="E52" s="1">
        <f t="shared" si="8"/>
        <v>17787</v>
      </c>
      <c r="F52" s="1">
        <f t="shared" si="8"/>
        <v>17787</v>
      </c>
      <c r="G52" s="1">
        <f t="shared" si="8"/>
        <v>17787</v>
      </c>
      <c r="H52" s="1">
        <f t="shared" si="8"/>
        <v>17787</v>
      </c>
      <c r="I52" s="1">
        <f t="shared" si="8"/>
        <v>17787</v>
      </c>
      <c r="J52" s="1">
        <f t="shared" si="8"/>
        <v>17787</v>
      </c>
      <c r="K52" s="1">
        <f t="shared" si="8"/>
        <v>17787</v>
      </c>
      <c r="L52" s="1">
        <f t="shared" si="8"/>
        <v>17787</v>
      </c>
      <c r="M52" s="1">
        <f t="shared" si="8"/>
        <v>17787</v>
      </c>
      <c r="N52" s="1">
        <f>SUM(B52,C52,D52,E52,F52,G52,H52,I52,J52,K52,L52,M52)</f>
        <v>213444</v>
      </c>
    </row>
  </sheetData>
  <pageMargins left="0.7" right="0.7" top="0.75" bottom="0.75" header="0.3" footer="0.3"/>
  <ignoredErrors>
    <ignoredError sqref="A1:N6 A8:N52 A7 N7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Petersen (TPET - Lektor - Cphbusiness)</cp:lastModifiedBy>
  <dcterms:modified xsi:type="dcterms:W3CDTF">2026-03-20T14:48:47Z</dcterms:modified>
</cp:coreProperties>
</file>