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Renteindtægter og udbytte fra investeringer, bankindlån eller obligationer.</t>
      </text>
    </comment>
    <comment ref="A9" authorId="0">
      <text>
        <t>Månedlig børne- og ungeydelse fra staten baseret på antal børn og deres alder.</t>
      </text>
    </comment>
    <comment ref="A10" authorId="0">
      <text>
        <t>Månedligt børnebidrag modtaget fra eks-partner eller anden part.</t>
      </text>
    </comment>
    <comment ref="A11" authorId="0">
      <text>
        <t>Ekstra tilskud eller støtte til børn, f.eks. børnetilskud eller lignende ydelser.</t>
      </text>
    </comment>
    <comment ref="A15" authorId="0">
      <text>
        <t>Månedlig husleje for lejebolig. Hvis du ejer boligen, skal du ikke udfylde dette felt.</t>
      </text>
    </comment>
    <comment ref="A16" authorId="0">
      <text>
        <t>Månedlig ydelse på banklån efter skat. Dette er nettoudgiften på lånet efter skattefradrag.</t>
      </text>
    </comment>
    <comment ref="A17" authorId="0">
      <text>
        <t>Månedlige omkostninger til renovation og affaldshåndtering.</t>
      </text>
    </comment>
    <comment ref="A18" authorId="0">
      <text>
        <t>Månedlige omkostninger til opvarmning af boligen (fjernvarme, gas, olie, elvarme).</t>
      </text>
    </comment>
    <comment ref="A19" authorId="0">
      <text>
        <t>Månedlige elregninger til belysning, husholdningsapparater og andet elforbrug.</t>
      </text>
    </comment>
    <comment ref="A20" authorId="0">
      <text>
        <t>Månedlige vandregninger og eventuelle spildevandsgebyrer.</t>
      </text>
    </comment>
    <comment ref="A21" authorId="0">
      <text>
        <t>Årlige ejendomsskatter (ejendomsværdiskat og grundskyld). Deles typisk over 12 måneder.</t>
      </text>
    </comment>
    <comment ref="A22" authorId="0">
      <text>
        <t>Månedlige fællesudgifter i ejerforening eller andelsboligforening (vedligeholdelse, administration, osv.).</t>
      </text>
    </comment>
    <comment ref="A23" authorId="0">
      <text>
        <t>Månedligt kontingent til grundejerforening eller ejerforening.</t>
      </text>
    </comment>
    <comment ref="A24" authorId="0">
      <text>
        <t>Månedlige omkostninger til vedligeholdelse og reparationer af boligen.</t>
      </text>
    </comment>
    <comment ref="A25" authorId="0">
      <text>
        <t>Månedlige forsikringspræmier for boligforsikring (indboforsikring, ejerskifteforsikring, osv.).</t>
      </text>
    </comment>
    <comment ref="A26" authorId="0">
      <text>
        <t>Andre boligrelaterede udgifter, der ikke er dækket af de andre kategorier.</t>
      </text>
    </comment>
    <comment ref="A28" authorId="0">
      <text>
        <t>Månedlige forsikringspræmier for bilforsikring (ansvarsforsikring, kaskoforsikring, osv.).</t>
      </text>
    </comment>
    <comment ref="A29" authorId="0">
      <text>
        <t>Månedlig vægtafgift til bilen. Dette er en skat baseret på bilens vægt.</t>
      </text>
    </comment>
    <comment ref="A30" authorId="0">
      <text>
        <t>Månedlige omkostninger til brændstof (benzin, diesel, el til elbil).</t>
      </text>
    </comment>
    <comment ref="A31" authorId="0">
      <text>
        <t>Månedligt kontingent til FDM (Forenede Danske Motorejere) eller lignende bilorganisationer.</t>
      </text>
    </comment>
    <comment ref="A32" authorId="0">
      <text>
        <t>Månedlig ydelse på billån eller leasingaftale.</t>
      </text>
    </comment>
    <comment ref="A33" authorId="0">
      <text>
        <t>Månedlige omkostninger til vedligeholdelse, reparationer og service af bilen.</t>
      </text>
    </comment>
    <comment ref="A35" authorId="0">
      <text>
        <t>Månedlige omkostninger til offentlig transport (bus, tog, metro, osv.).</t>
      </text>
    </comment>
    <comment ref="A36" authorId="0">
      <text>
        <t>Andre transportrelaterede udgifter, der ikke er dækket af de andre kategorier.</t>
      </text>
    </comment>
    <comment ref="A38" authorId="0">
      <text>
        <t>Månedlige omkostninger til fastnettelefon (landline).</t>
      </text>
    </comment>
    <comment ref="A39" authorId="0">
      <text>
        <t>Månedlige omkostninger til mobiltelefon og mobilabonnement.</t>
      </text>
    </comment>
    <comment ref="A40" authorId="0">
      <text>
        <t>Månedlige omkostninger til internetforbindelse (bredbånd, fiber, osv.).</t>
      </text>
    </comment>
    <comment ref="A41" authorId="0">
      <text>
        <t>Månedlige omkostninger til kabel-TV, streamingtjenester eller hybridnet.</t>
      </text>
    </comment>
    <comment ref="A42" authorId="0">
      <text>
        <t>Andre kommunikations- og TV-relaterede udgifter.</t>
      </text>
    </comment>
    <comment ref="A44" authorId="0">
      <text>
        <t>Månedligt kontingent til A-kasse (arbejdsløshedsforsikring).</t>
      </text>
    </comment>
    <comment ref="A45" authorId="0">
      <text>
        <t>Månedligt kontingent til fagforening.</t>
      </text>
    </comment>
    <comment ref="A46" authorId="0">
      <text>
        <t>Månedlige præmier for familieforsikring (livsforsikring, invaliditetsforsikring, osv.).</t>
      </text>
    </comment>
    <comment ref="A47" authorId="0">
      <text>
        <t>Månedlige præmier for ulykkesforsikring.</t>
      </text>
    </comment>
    <comment ref="A48" authorId="0">
      <text>
        <t>Månedligt kontingent til Sygeforsikring Danmark eller lignende sundhedsforsikringer.</t>
      </text>
    </comment>
    <comment ref="A49" authorId="0">
      <text>
        <t>Månedlige omkostninger til receptpligtig medicin og lægemidler.</t>
      </text>
    </comment>
    <comment ref="A50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32902</v>
      </c>
      <c r="C7" s="1">
        <v>32902</v>
      </c>
      <c r="D7" s="1">
        <v>32902</v>
      </c>
      <c r="E7" s="1">
        <v>32902</v>
      </c>
      <c r="F7" s="1">
        <v>32902</v>
      </c>
      <c r="G7" s="1">
        <v>32902</v>
      </c>
      <c r="H7" s="1">
        <v>32902</v>
      </c>
      <c r="I7" s="1">
        <v>32902</v>
      </c>
      <c r="J7" s="1">
        <v>32902</v>
      </c>
      <c r="K7" s="1">
        <v>32902</v>
      </c>
      <c r="L7" s="1">
        <v>32902</v>
      </c>
      <c r="M7" s="1">
        <v>32902</v>
      </c>
      <c r="N7" s="1">
        <f>=SUM(B7:M7)</f>
      </c>
    </row>
    <row r="8">
      <c r="A8" t="str">
        <v>Renter/udbytte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s="1">
        <f>=SUM(B8:M8)</f>
      </c>
    </row>
    <row r="9">
      <c r="A9" t="str">
        <v>Børne- og ungeydelse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Børnebidrag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Børnetilskud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Indtægter i alt</v>
      </c>
      <c r="B12" s="1">
        <f>=SUM(B7:B11)</f>
      </c>
      <c r="C12" s="1">
        <f>=SUM(C7:C11)</f>
      </c>
      <c r="D12" s="1">
        <f>=SUM(D7:D11)</f>
      </c>
      <c r="E12" s="1">
        <f>=SUM(E7:E11)</f>
      </c>
      <c r="F12" s="1">
        <f>=SUM(F7:F11)</f>
      </c>
      <c r="G12" s="1">
        <f>=SUM(G7:G11)</f>
      </c>
      <c r="H12" s="1">
        <f>=SUM(H7:H11)</f>
      </c>
      <c r="I12" s="1">
        <f>=SUM(I7:I11)</f>
      </c>
      <c r="J12" s="1">
        <f>=SUM(J7:J11)</f>
      </c>
      <c r="K12" s="1">
        <f>=SUM(K7:K11)</f>
      </c>
      <c r="L12" s="1">
        <f>=SUM(L7:L11)</f>
      </c>
      <c r="M12" s="1">
        <f>=SUM(M7:M11)</f>
      </c>
      <c r="N12" s="1">
        <f>=SUM(B12:M12)</f>
      </c>
    </row>
    <row r="13">
      <c r="A13" t="str">
        <v>UDGIFTER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Bolig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Husleje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s="1">
        <f>=SUM(B15:M15)</f>
      </c>
    </row>
    <row r="16">
      <c r="A16" t="str">
        <v>Banklån, ydelse efter skat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s="1">
        <f>=SUM(B16:M16)</f>
      </c>
    </row>
    <row r="17">
      <c r="A17" t="str">
        <v>Renovation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s="1">
        <f>=SUM(B17:M17)</f>
      </c>
    </row>
    <row r="18">
      <c r="A18" t="str">
        <v>Varme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Elektricitet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s="1">
        <f>=SUM(B19:M19)</f>
      </c>
    </row>
    <row r="20">
      <c r="A20" t="str">
        <v>Vand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s="1">
        <f>=SUM(B20:M20)</f>
      </c>
    </row>
    <row r="21">
      <c r="A21" t="str">
        <v>Ejendomsskatter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Fællesudgifter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Grundejerforening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Vedligeholdelse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Hus forsikring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Diverse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Bolig i alt</v>
      </c>
      <c r="B27" s="1">
        <f>=SUM(B15:B26)</f>
      </c>
      <c r="C27" s="1">
        <f>=SUM(C15:C26)</f>
      </c>
      <c r="D27" s="1">
        <f>=SUM(D15:D26)</f>
      </c>
      <c r="E27" s="1">
        <f>=SUM(E15:E26)</f>
      </c>
      <c r="F27" s="1">
        <f>=SUM(F15:F26)</f>
      </c>
      <c r="G27" s="1">
        <f>=SUM(G15:G26)</f>
      </c>
      <c r="H27" s="1">
        <f>=SUM(H15:H26)</f>
      </c>
      <c r="I27" s="1">
        <f>=SUM(I15:I26)</f>
      </c>
      <c r="J27" s="1">
        <f>=SUM(J15:J26)</f>
      </c>
      <c r="K27" s="1">
        <f>=SUM(K15:K26)</f>
      </c>
      <c r="L27" s="1">
        <f>=SUM(L15:L26)</f>
      </c>
      <c r="M27" s="1">
        <f>=SUM(M15:M26)</f>
      </c>
      <c r="N27" s="1">
        <f>=SUM(B27:M27)</f>
      </c>
    </row>
    <row r="28">
      <c r="A28" t="str">
        <v>Forsikring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s="1">
        <f>=SUM(B28:M28)</f>
      </c>
    </row>
    <row r="29">
      <c r="A29" t="str">
        <v>Vægtafgift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Benzin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FDM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Billån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Vedligehold/reparation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Biludgifter i alt</v>
      </c>
      <c r="B34" s="1">
        <f>=SUM(B28:B33)</f>
      </c>
      <c r="C34" s="1">
        <f>=SUM(C28:C33)</f>
      </c>
      <c r="D34" s="1">
        <f>=SUM(D28:D33)</f>
      </c>
      <c r="E34" s="1">
        <f>=SUM(E28:E33)</f>
      </c>
      <c r="F34" s="1">
        <f>=SUM(F28:F33)</f>
      </c>
      <c r="G34" s="1">
        <f>=SUM(G28:G33)</f>
      </c>
      <c r="H34" s="1">
        <f>=SUM(H28:H33)</f>
      </c>
      <c r="I34" s="1">
        <f>=SUM(I28:I33)</f>
      </c>
      <c r="J34" s="1">
        <f>=SUM(J28:J33)</f>
      </c>
      <c r="K34" s="1">
        <f>=SUM(K28:K33)</f>
      </c>
      <c r="L34" s="1">
        <f>=SUM(L28:L33)</f>
      </c>
      <c r="M34" s="1">
        <f>=SUM(M28:M33)</f>
      </c>
      <c r="N34" s="1">
        <f>=SUM(B34:M34)</f>
      </c>
    </row>
    <row r="35">
      <c r="A35" t="str">
        <v>Offentlig transport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s="1">
        <f>=SUM(B35:M35)</f>
      </c>
    </row>
    <row r="36">
      <c r="A36" t="str">
        <v>Diverse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s="1">
        <f>=SUM(B36:M36)</f>
      </c>
    </row>
    <row r="37">
      <c r="A37" t="str">
        <v>Transport i alt</v>
      </c>
      <c r="B37" s="1">
        <f>=SUM(B35:B36)</f>
      </c>
      <c r="C37" s="1">
        <f>=SUM(C35:C36)</f>
      </c>
      <c r="D37" s="1">
        <f>=SUM(D35:D36)</f>
      </c>
      <c r="E37" s="1">
        <f>=SUM(E35:E36)</f>
      </c>
      <c r="F37" s="1">
        <f>=SUM(F35:F36)</f>
      </c>
      <c r="G37" s="1">
        <f>=SUM(G35:G36)</f>
      </c>
      <c r="H37" s="1">
        <f>=SUM(H35:H36)</f>
      </c>
      <c r="I37" s="1">
        <f>=SUM(I35:I36)</f>
      </c>
      <c r="J37" s="1">
        <f>=SUM(J35:J36)</f>
      </c>
      <c r="K37" s="1">
        <f>=SUM(K35:K36)</f>
      </c>
      <c r="L37" s="1">
        <f>=SUM(L35:L36)</f>
      </c>
      <c r="M37" s="1">
        <f>=SUM(M35:M36)</f>
      </c>
      <c r="N37" s="1">
        <f>=SUM(B37:M37)</f>
      </c>
    </row>
    <row r="38">
      <c r="A38" t="str">
        <v>Fastnettelefon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s="1">
        <f>=SUM(B38:M38)</f>
      </c>
    </row>
    <row r="39">
      <c r="A39" t="str">
        <v>Mobiltelefon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Internet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s="1">
        <f>=SUM(B40:M40)</f>
      </c>
    </row>
    <row r="41">
      <c r="A41" t="str">
        <v>Hybridnet/kabel-TV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s="1">
        <f>=SUM(B41:M41)</f>
      </c>
    </row>
    <row r="42">
      <c r="A42" t="str">
        <v>Diverse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s="1">
        <f>=SUM(B42:M42)</f>
      </c>
    </row>
    <row r="43">
      <c r="A43" t="str">
        <v>Kommun./TV i alt</v>
      </c>
      <c r="B43" s="1">
        <f>=SUM(B38:B42)</f>
      </c>
      <c r="C43" s="1">
        <f>=SUM(C38:C42)</f>
      </c>
      <c r="D43" s="1">
        <f>=SUM(D38:D42)</f>
      </c>
      <c r="E43" s="1">
        <f>=SUM(E38:E42)</f>
      </c>
      <c r="F43" s="1">
        <f>=SUM(F38:F42)</f>
      </c>
      <c r="G43" s="1">
        <f>=SUM(G38:G42)</f>
      </c>
      <c r="H43" s="1">
        <f>=SUM(H38:H42)</f>
      </c>
      <c r="I43" s="1">
        <f>=SUM(I38:I42)</f>
      </c>
      <c r="J43" s="1">
        <f>=SUM(J38:J42)</f>
      </c>
      <c r="K43" s="1">
        <f>=SUM(K38:K42)</f>
      </c>
      <c r="L43" s="1">
        <f>=SUM(L38:L42)</f>
      </c>
      <c r="M43" s="1">
        <f>=SUM(M38:M42)</f>
      </c>
      <c r="N43" s="1">
        <f>=SUM(B43:M43)</f>
      </c>
    </row>
    <row r="44">
      <c r="A44" t="str">
        <v>A-kasse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s="1">
        <f>=SUM(B44:M44)</f>
      </c>
    </row>
    <row r="45">
      <c r="A45" t="str">
        <v>Fagforening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Familieforsikring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s="1">
        <f>=SUM(B46:M46)</f>
      </c>
    </row>
    <row r="47">
      <c r="A47" t="str">
        <v>Ulykkesforsikring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Sygeforsikring Danmark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Receptpligtig medecin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s="1">
        <f>=SUM(B49:M49)</f>
      </c>
    </row>
    <row r="50">
      <c r="A50" t="str">
        <v>Diverse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s="1">
        <f>=SUM(B50:M50)</f>
      </c>
    </row>
    <row r="51">
      <c r="A51" t="str">
        <v>Udgifter i alt</v>
      </c>
      <c r="B51" s="1">
        <f>=SUM(B15,B16,B17,B18,B19,B20,B21,B22,B23,B24,B25,B26,B28,B29,B30,B31,B32,B33,B35,B36,B38,B39,B40,B41,B42,B44,B45,B46,B47,B48,B49,B50)</f>
      </c>
      <c r="C51" s="1">
        <f>=SUM(C15,C16,C17,C18,C19,C20,C21,C22,C23,C24,C25,C26,C28,C29,C30,C31,C32,C33,C35,C36,C38,C39,C40,C41,C42,C44,C45,C46,C47,C48,C49,C50)</f>
      </c>
      <c r="D51" s="1">
        <f>=SUM(D15,D16,D17,D18,D19,D20,D21,D22,D23,D24,D25,D26,D28,D29,D30,D31,D32,D33,D35,D36,D38,D39,D40,D41,D42,D44,D45,D46,D47,D48,D49,D50)</f>
      </c>
      <c r="E51" s="1">
        <f>=SUM(E15,E16,E17,E18,E19,E20,E21,E22,E23,E24,E25,E26,E28,E29,E30,E31,E32,E33,E35,E36,E38,E39,E40,E41,E42,E44,E45,E46,E47,E48,E49,E50)</f>
      </c>
      <c r="F51" s="1">
        <f>=SUM(F15,F16,F17,F18,F19,F20,F21,F22,F23,F24,F25,F26,F28,F29,F30,F31,F32,F33,F35,F36,F38,F39,F40,F41,F42,F44,F45,F46,F47,F48,F49,F50)</f>
      </c>
      <c r="G51" s="1">
        <f>=SUM(G15,G16,G17,G18,G19,G20,G21,G22,G23,G24,G25,G26,G28,G29,G30,G31,G32,G33,G35,G36,G38,G39,G40,G41,G42,G44,G45,G46,G47,G48,G49,G50)</f>
      </c>
      <c r="H51" s="1">
        <f>=SUM(H15,H16,H17,H18,H19,H20,H21,H22,H23,H24,H25,H26,H28,H29,H30,H31,H32,H33,H35,H36,H38,H39,H40,H41,H42,H44,H45,H46,H47,H48,H49,H50)</f>
      </c>
      <c r="I51" s="1">
        <f>=SUM(I15,I16,I17,I18,I19,I20,I21,I22,I23,I24,I25,I26,I28,I29,I30,I31,I32,I33,I35,I36,I38,I39,I40,I41,I42,I44,I45,I46,I47,I48,I49,I50)</f>
      </c>
      <c r="J51" s="1">
        <f>=SUM(J15,J16,J17,J18,J19,J20,J21,J22,J23,J24,J25,J26,J28,J29,J30,J31,J32,J33,J35,J36,J38,J39,J40,J41,J42,J44,J45,J46,J47,J48,J49,J50)</f>
      </c>
      <c r="K51" s="1">
        <f>=SUM(K15,K16,K17,K18,K19,K20,K21,K22,K23,K24,K25,K26,K28,K29,K30,K31,K32,K33,K35,K36,K38,K39,K40,K41,K42,K44,K45,K46,K47,K48,K49,K50)</f>
      </c>
      <c r="L51" s="1">
        <f>=SUM(L15,L16,L17,L18,L19,L20,L21,L22,L23,L24,L25,L26,L28,L29,L30,L31,L32,L33,L35,L36,L38,L39,L40,L41,L42,L44,L45,L46,L47,L48,L49,L50)</f>
      </c>
      <c r="M51" s="1">
        <f>=SUM(M15,M16,M17,M18,M19,M20,M21,M22,M23,M24,M25,M26,M28,M29,M30,M31,M32,M33,M35,M36,M38,M39,M40,M41,M42,M44,M45,M46,M47,M48,M49,M50)</f>
      </c>
      <c r="N51" s="1">
        <f>=SUM(B51,C51,D51,E51,F51,G51,H51,I51,J51,K51,L51,M51)</f>
      </c>
    </row>
    <row r="52">
      <c r="A52" t="str">
        <v>Rådighedsbeløb</v>
      </c>
      <c r="B52" s="1">
        <f>=B12-B51</f>
      </c>
      <c r="C52" s="1">
        <f>=C12-C51</f>
      </c>
      <c r="D52" s="1">
        <f>=D12-D51</f>
      </c>
      <c r="E52" s="1">
        <f>=E12-E51</f>
      </c>
      <c r="F52" s="1">
        <f>=F12-F51</f>
      </c>
      <c r="G52" s="1">
        <f>=G12-G51</f>
      </c>
      <c r="H52" s="1">
        <f>=H12-H51</f>
      </c>
      <c r="I52" s="1">
        <f>=I12-I51</f>
      </c>
      <c r="J52" s="1">
        <f>=J12-J51</f>
      </c>
      <c r="K52" s="1">
        <f>=K12-K51</f>
      </c>
      <c r="L52" s="1">
        <f>=L12-L51</f>
      </c>
      <c r="M52" s="1">
        <f>=M12-M51</f>
      </c>
      <c r="N52" s="1">
        <f>=SUM(B52,C52,D52,E52,F52,G52,H52,I52,J52,K52,L52,M52)</f>
      </c>
    </row>
  </sheetData>
  <ignoredErrors>
    <ignoredError numberStoredAsText="1" sqref="A1:N5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