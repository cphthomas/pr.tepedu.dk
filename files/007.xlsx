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thomas/GIT/opg2/files/"/>
    </mc:Choice>
  </mc:AlternateContent>
  <xr:revisionPtr revIDLastSave="0" documentId="13_ncr:1_{5593FBA9-1727-5E47-96F7-BDF4941BEAE6}" xr6:coauthVersionLast="47" xr6:coauthVersionMax="47" xr10:uidLastSave="{00000000-0000-0000-0000-000000000000}"/>
  <bookViews>
    <workbookView xWindow="0" yWindow="760" windowWidth="34560" windowHeight="21580" xr2:uid="{2D9A4E14-4C39-C04E-8096-D2E6DB2E8F07}"/>
  </bookViews>
  <sheets>
    <sheet name="Investering" sheetId="2" r:id="rId1"/>
  </sheets>
  <externalReferences>
    <externalReference r:id="rId2"/>
  </externalReferences>
  <definedNames>
    <definedName name="__hej1" hidden="1">#REF!</definedName>
    <definedName name="_hej1" hidden="1">#REF!</definedName>
    <definedName name="ArbBidrag">[1]Skattesatser!$H$3</definedName>
    <definedName name="BeFradragHojSats">[1]Skattesatser!$H$4</definedName>
    <definedName name="BeFradragKmMax">[1]Skattesatser!$H$6</definedName>
    <definedName name="BeFradragKmMin">[1]Skattesatser!$H$5</definedName>
    <definedName name="BeFradragLavSats">[1]Skattesatser!$H$7</definedName>
    <definedName name="BFradragMax">[1]Skattesatser!$H$10</definedName>
    <definedName name="BFradragProc">[1]Skattesatser!$H$9</definedName>
    <definedName name="Bundskat">[1]Skattesatser!$H$11</definedName>
    <definedName name="dikdsks" hidden="1">#REF!</definedName>
    <definedName name="dsfasdfsfa" hidden="1">#REF!</definedName>
    <definedName name="EjVSkatMax">[1]Skattesatser!$H$13</definedName>
    <definedName name="EjVSkatMin">[1]Skattesatser!$H$12</definedName>
    <definedName name="EPENfradragMax">[1]Skattesatser!$H$16</definedName>
    <definedName name="EPENfradragProc">[1]Skattesatser!$H$15</definedName>
    <definedName name="EPENSeniorMax">[1]Skattesatser!$H$18</definedName>
    <definedName name="EPENSeniorProc">[1]Skattesatser!$H$17</definedName>
    <definedName name="FagforeningMax">[1]Skattesatser!$H$19</definedName>
    <definedName name="Forsigtighed">[1]Skattesatser!$H$23</definedName>
    <definedName name="FriTelefon">[1]Skattesatser!$H$24</definedName>
    <definedName name="Gift">#REF!</definedName>
    <definedName name="GranseNegKIEnlig">[1]Skattesatser!$H$42</definedName>
    <definedName name="GranseNegKIPar">[1]Skattesatser!$H$41</definedName>
    <definedName name="Grøn_check_antal_børn_max">[1]Skattesatser!#REF!</definedName>
    <definedName name="GronSkatBorn">[1]Skattesatser!#REF!</definedName>
    <definedName name="GronSkatBornexGranse">[1]Skattesatser!#REF!</definedName>
    <definedName name="GronSkatexBorn">[1]Skattesatser!#REF!</definedName>
    <definedName name="hej" hidden="1">#REF!</definedName>
    <definedName name="henrik" hidden="1">#REF!</definedName>
    <definedName name="ieeooe" hidden="1">#REF!</definedName>
    <definedName name="Intro">#REF!</definedName>
    <definedName name="Jfradraggranse">[1]Skattesatser!$H$30</definedName>
    <definedName name="JfradragMax">[1]Skattesatser!$H$31</definedName>
    <definedName name="Jfradragproc">[1]Skattesatser!$H$29</definedName>
    <definedName name="KItilTopskatEnlig">[1]Skattesatser!$H$33</definedName>
    <definedName name="KItilTopskatPar">[1]Skattesatser!$H$32</definedName>
    <definedName name="Look1Area" hidden="1">#REF!</definedName>
    <definedName name="Look2Area" hidden="1">#REF!</definedName>
    <definedName name="Look3Area" hidden="1">#REF!</definedName>
    <definedName name="Look4Area" hidden="1">#REF!</definedName>
    <definedName name="Look5Area" hidden="1">#REF!</definedName>
    <definedName name="mkiuyee" hidden="1">#REF!</definedName>
    <definedName name="NyIntro">#REF!</definedName>
    <definedName name="Personfradrag">[1]Skattesatser!$H$34</definedName>
    <definedName name="poedoe">#REF!</definedName>
    <definedName name="polse">#REF!</definedName>
    <definedName name="qiecmkie" hidden="1">#REF!</definedName>
    <definedName name="qqqqwww" hidden="1">#REF!</definedName>
    <definedName name="RatepensionMax">[1]Skattesatser!$H$36</definedName>
    <definedName name="sda">#REF!</definedName>
    <definedName name="Skatteordning">#REF!</definedName>
    <definedName name="SkraatSkatteloftKI">[1]Skattesatser!$H$38</definedName>
    <definedName name="SkraatSkatteloftPI">[1]Skattesatser!$H$37</definedName>
    <definedName name="Sundhedsbidrag">[1]Skattesatser!$H$39</definedName>
    <definedName name="teste11">#REF!</definedName>
    <definedName name="testen" hidden="1">#REF!</definedName>
    <definedName name="TillagNegKI">[1]Skattesatser!$H$40</definedName>
    <definedName name="Topskat">[1]Skattesatser!$H$43</definedName>
    <definedName name="TopSkatGranse">[1]Skattesatser!$H$35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2" l="1"/>
  <c r="T29" i="2"/>
  <c r="L35" i="2"/>
  <c r="L37" i="2"/>
  <c r="H65" i="2"/>
  <c r="H56" i="2"/>
  <c r="I35" i="2"/>
  <c r="I83" i="2"/>
  <c r="H81" i="2"/>
  <c r="H83" i="2" s="1"/>
  <c r="I74" i="2"/>
  <c r="H72" i="2"/>
  <c r="H74" i="2" s="1"/>
  <c r="I65" i="2"/>
  <c r="J65" i="2" s="1"/>
  <c r="H63" i="2"/>
  <c r="I56" i="2"/>
  <c r="H54" i="2"/>
  <c r="C52" i="2"/>
  <c r="C54" i="2" s="1"/>
  <c r="C56" i="2" s="1"/>
  <c r="K38" i="2"/>
  <c r="I37" i="2"/>
  <c r="K36" i="2"/>
  <c r="D30" i="2"/>
  <c r="E30" i="2" s="1"/>
  <c r="D29" i="2"/>
  <c r="E29" i="2" s="1"/>
  <c r="D28" i="2"/>
  <c r="E28" i="2" s="1"/>
  <c r="D27" i="2"/>
  <c r="E27" i="2" s="1"/>
  <c r="D25" i="2"/>
  <c r="E25" i="2" s="1"/>
  <c r="D24" i="2"/>
  <c r="E24" i="2" s="1"/>
  <c r="P23" i="2"/>
  <c r="O23" i="2"/>
  <c r="R23" i="2" s="1"/>
  <c r="S23" i="2" s="1"/>
  <c r="D23" i="2"/>
  <c r="E23" i="2" s="1"/>
  <c r="P22" i="2"/>
  <c r="O22" i="2"/>
  <c r="D22" i="2"/>
  <c r="E22" i="2" s="1"/>
  <c r="P21" i="2"/>
  <c r="O21" i="2"/>
  <c r="D21" i="2"/>
  <c r="E21" i="2" s="1"/>
  <c r="P20" i="2"/>
  <c r="O20" i="2"/>
  <c r="D20" i="2"/>
  <c r="E20" i="2" s="1"/>
  <c r="P19" i="2"/>
  <c r="O19" i="2"/>
  <c r="D19" i="2"/>
  <c r="E19" i="2" s="1"/>
  <c r="E31" i="2" s="1"/>
  <c r="P18" i="2"/>
  <c r="O18" i="2"/>
  <c r="P17" i="2"/>
  <c r="O17" i="2"/>
  <c r="P13" i="2"/>
  <c r="O13" i="2"/>
  <c r="P12" i="2"/>
  <c r="O12" i="2"/>
  <c r="P11" i="2"/>
  <c r="O11" i="2"/>
  <c r="P10" i="2"/>
  <c r="O10" i="2"/>
  <c r="P9" i="2"/>
  <c r="O9" i="2"/>
  <c r="P8" i="2"/>
  <c r="O8" i="2"/>
  <c r="R10" i="2" l="1"/>
  <c r="T10" i="2" s="1"/>
  <c r="O14" i="2"/>
  <c r="R8" i="2"/>
  <c r="T8" i="2" s="1"/>
  <c r="R9" i="2"/>
  <c r="T9" i="2" s="1"/>
  <c r="R11" i="2"/>
  <c r="T11" i="2" s="1"/>
  <c r="R12" i="2"/>
  <c r="T12" i="2" s="1"/>
  <c r="R19" i="2"/>
  <c r="S19" i="2" s="1"/>
  <c r="R20" i="2"/>
  <c r="S20" i="2" s="1"/>
  <c r="I38" i="2"/>
  <c r="J56" i="2"/>
  <c r="J74" i="2"/>
  <c r="R21" i="2"/>
  <c r="S21" i="2" s="1"/>
  <c r="R17" i="2"/>
  <c r="S17" i="2" s="1"/>
  <c r="J83" i="2"/>
  <c r="R18" i="2"/>
  <c r="S18" i="2" s="1"/>
  <c r="R13" i="2"/>
  <c r="T13" i="2" s="1"/>
  <c r="P25" i="2"/>
  <c r="R22" i="2"/>
  <c r="S22" i="2" s="1"/>
  <c r="I36" i="2"/>
  <c r="P14" i="2"/>
  <c r="O25" i="2"/>
  <c r="O27" i="2" l="1"/>
  <c r="J85" i="2"/>
  <c r="H42" i="2" s="1"/>
  <c r="S31" i="2"/>
  <c r="L38" i="2" s="1"/>
  <c r="P27" i="2"/>
  <c r="Q14" i="2" s="1"/>
  <c r="R14" i="2"/>
  <c r="R25" i="2"/>
  <c r="Q25" i="2" l="1"/>
  <c r="T32" i="2"/>
  <c r="S32" i="2"/>
  <c r="R27" i="2"/>
  <c r="Q10" i="2"/>
  <c r="Q19" i="2"/>
  <c r="Q27" i="2"/>
  <c r="Q17" i="2"/>
  <c r="H41" i="2"/>
  <c r="Q21" i="2"/>
  <c r="Q12" i="2"/>
  <c r="Q23" i="2"/>
  <c r="Q20" i="2"/>
  <c r="Q9" i="2"/>
  <c r="Q18" i="2"/>
  <c r="Q11" i="2"/>
  <c r="Q22" i="2"/>
  <c r="Q8" i="2"/>
  <c r="Q13" i="2"/>
  <c r="V32" i="2" l="1"/>
  <c r="H43" i="2" s="1"/>
  <c r="H44" i="2" s="1"/>
</calcChain>
</file>

<file path=xl/sharedStrings.xml><?xml version="1.0" encoding="utf-8"?>
<sst xmlns="http://schemas.openxmlformats.org/spreadsheetml/2006/main" count="114" uniqueCount="73">
  <si>
    <t xml:space="preserve"> </t>
  </si>
  <si>
    <t>Investering (Skriv kun i de gule felter)</t>
  </si>
  <si>
    <t>Link til Nasdaq (obligationer):</t>
  </si>
  <si>
    <t>https://www.nasdaqomxnordic.com/obligationer/danmark/?languageId=5</t>
  </si>
  <si>
    <t>Hvis DKK skriv 1</t>
  </si>
  <si>
    <t>Skriv navn på obligationerne</t>
  </si>
  <si>
    <t>Købskurs</t>
  </si>
  <si>
    <t>Salgskurs</t>
  </si>
  <si>
    <t>Antal</t>
  </si>
  <si>
    <t>Termin</t>
  </si>
  <si>
    <t>Valutakurs køb</t>
  </si>
  <si>
    <t>Valutakurs salg</t>
  </si>
  <si>
    <t>Købssum</t>
  </si>
  <si>
    <t>Salgssum</t>
  </si>
  <si>
    <t>Fordeling</t>
  </si>
  <si>
    <t>Gevinst/tab</t>
  </si>
  <si>
    <t>Aktieindkomst</t>
  </si>
  <si>
    <t>Kapitalindkomst</t>
  </si>
  <si>
    <t>Ydelse</t>
  </si>
  <si>
    <t>Disk.faktor</t>
  </si>
  <si>
    <t>NV</t>
  </si>
  <si>
    <t>Obligationer i alt</t>
  </si>
  <si>
    <t>Skriv navn på aktierne</t>
  </si>
  <si>
    <r>
      <t>y</t>
    </r>
    <r>
      <rPr>
        <b/>
        <vertAlign val="subscript"/>
        <sz val="10"/>
        <rFont val="Arial"/>
        <family val="2"/>
      </rPr>
      <t>t</t>
    </r>
  </si>
  <si>
    <r>
      <t>d</t>
    </r>
    <r>
      <rPr>
        <b/>
        <vertAlign val="subscript"/>
        <sz val="10"/>
        <rFont val="Arial"/>
        <family val="2"/>
      </rPr>
      <t>t</t>
    </r>
  </si>
  <si>
    <r>
      <t>y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*(1+i)</t>
    </r>
    <r>
      <rPr>
        <b/>
        <vertAlign val="superscript"/>
        <sz val="10"/>
        <rFont val="Arial"/>
        <family val="2"/>
      </rPr>
      <t>-t</t>
    </r>
  </si>
  <si>
    <t xml:space="preserve">  </t>
  </si>
  <si>
    <t>Aktier i alt</t>
  </si>
  <si>
    <t>Samlet portefølje</t>
  </si>
  <si>
    <t>Vedhængende rente</t>
  </si>
  <si>
    <t>∑</t>
  </si>
  <si>
    <t>Skattegrundlag</t>
  </si>
  <si>
    <t>Skattebetaling</t>
  </si>
  <si>
    <t>Skat i alt</t>
  </si>
  <si>
    <t>SKAT</t>
  </si>
  <si>
    <t>SATS</t>
  </si>
  <si>
    <t>Grænse ægtepar</t>
  </si>
  <si>
    <t>Skat ægtepar</t>
  </si>
  <si>
    <t>Grænse single</t>
  </si>
  <si>
    <t>Skat single</t>
  </si>
  <si>
    <t>Kapitalindkomst under grænsen</t>
  </si>
  <si>
    <t>Kapitalindkomst over grænsen hvis man også er topskatte betaler. Ellers 37%</t>
  </si>
  <si>
    <t>Aktieindkomst under grænsen</t>
  </si>
  <si>
    <t>Aktieindkomst over grænsen</t>
  </si>
  <si>
    <t>"I hånden"</t>
  </si>
  <si>
    <t xml:space="preserve"> + vedhængende rente</t>
  </si>
  <si>
    <t xml:space="preserve"> - skat</t>
  </si>
  <si>
    <t xml:space="preserve"> I hånden efter skat"</t>
  </si>
  <si>
    <t>Vedhængende renter:</t>
  </si>
  <si>
    <t>Husk at gange rente betalingen med valutakursen hvis det er udenlandske obligationer</t>
  </si>
  <si>
    <t>Angiv kuponrente men IKKE i procent</t>
  </si>
  <si>
    <t>fx 3</t>
  </si>
  <si>
    <t xml:space="preserve">Valør </t>
  </si>
  <si>
    <t>skriv dags dato</t>
  </si>
  <si>
    <t>Forringe termin</t>
  </si>
  <si>
    <t>skriv hvornår der senest blev tilskrevet renter</t>
  </si>
  <si>
    <t>Dage</t>
  </si>
  <si>
    <t>Antal obligationer</t>
  </si>
  <si>
    <t>Rente betaling</t>
  </si>
  <si>
    <t>Obligationens nvan</t>
  </si>
  <si>
    <t>Valør</t>
  </si>
  <si>
    <t>Forrige termin</t>
  </si>
  <si>
    <t>Samlet vedhængende rente</t>
  </si>
  <si>
    <t>1,175 % Dansk stat 2025 Købt 2015-07-04</t>
  </si>
  <si>
    <t>1,175 % Dansk stat 2025 Købt 2015-07-09 ISIN DK0009923138</t>
  </si>
  <si>
    <t>1,5% Realkredit 2037 Danmark Købt 2017-08-28 ISIN DK0009297277</t>
  </si>
  <si>
    <t>4,160% ALM. Brand A/S Købt 2023-06-07 ISIN DK0030487806</t>
  </si>
  <si>
    <t>Novo Nordisk B (NOVO B) Købt 2023-12-01</t>
  </si>
  <si>
    <t>Carlsberg B (CARL B) 2021-01-01</t>
  </si>
  <si>
    <t>Nordea Invest Globale obligationer KL 1 Købt 2024-12-31 ISIN DK0010170398</t>
  </si>
  <si>
    <t>A.P. Møller - Mærsk B (MAERSK B) Købt 2020-10-01</t>
  </si>
  <si>
    <t>Danske Bank (DANSKE) Købt 2023-03-01</t>
  </si>
  <si>
    <t>Tesla (TSLA) Købt 2019-02-01 ISIN US88160R1014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</si>
</sst>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_);_(* \(#,##0.000\);_(* &quot;-&quot;???_);_(@_)"/>
    <numFmt numFmtId="168" formatCode="0.0%"/>
    <numFmt numFmtId="169" formatCode="_(* #,##0.0_);_(* \(#,##0.0\);_(* &quot;-&quot;??_);_(@_)"/>
  </numFmts>
  <fonts count="1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24"/>
      <color rgb="FFFF0000"/>
      <name val="Arial"/>
      <family val="2"/>
    </font>
    <font>
      <sz val="10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indexed="12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right"/>
    </xf>
    <xf numFmtId="0" fontId="5" fillId="0" borderId="0" xfId="2"/>
    <xf numFmtId="0" fontId="6" fillId="0" borderId="0" xfId="1" applyFont="1"/>
    <xf numFmtId="0" fontId="7" fillId="0" borderId="0" xfId="1" applyFont="1"/>
    <xf numFmtId="14" fontId="6" fillId="0" borderId="0" xfId="1" applyNumberFormat="1" applyFont="1"/>
    <xf numFmtId="0" fontId="8" fillId="0" borderId="0" xfId="1" applyFont="1"/>
    <xf numFmtId="0" fontId="8" fillId="0" borderId="0" xfId="1" applyFont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/>
    </xf>
    <xf numFmtId="16" fontId="1" fillId="0" borderId="0" xfId="1" quotePrefix="1" applyNumberFormat="1" applyAlignment="1">
      <alignment horizontal="center" vertical="center"/>
    </xf>
    <xf numFmtId="165" fontId="0" fillId="0" borderId="0" xfId="3" applyNumberFormat="1" applyFont="1"/>
    <xf numFmtId="9" fontId="0" fillId="0" borderId="0" xfId="4" applyFont="1"/>
    <xf numFmtId="165" fontId="1" fillId="0" borderId="0" xfId="1" applyNumberFormat="1"/>
    <xf numFmtId="0" fontId="1" fillId="2" borderId="0" xfId="1" applyFill="1"/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0" xfId="1" applyFont="1" applyAlignment="1">
      <alignment horizontal="left"/>
    </xf>
    <xf numFmtId="165" fontId="8" fillId="0" borderId="0" xfId="3" applyNumberFormat="1" applyFont="1"/>
    <xf numFmtId="9" fontId="8" fillId="0" borderId="0" xfId="4" applyFont="1"/>
    <xf numFmtId="165" fontId="8" fillId="0" borderId="0" xfId="1" applyNumberFormat="1" applyFont="1"/>
    <xf numFmtId="0" fontId="8" fillId="0" borderId="4" xfId="1" applyFont="1" applyBorder="1"/>
    <xf numFmtId="0" fontId="8" fillId="0" borderId="4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165" fontId="4" fillId="0" borderId="0" xfId="1" applyNumberFormat="1" applyFont="1"/>
    <xf numFmtId="14" fontId="1" fillId="0" borderId="0" xfId="1" applyNumberFormat="1"/>
    <xf numFmtId="164" fontId="0" fillId="0" borderId="0" xfId="3" applyFont="1" applyBorder="1"/>
    <xf numFmtId="166" fontId="0" fillId="0" borderId="0" xfId="3" applyNumberFormat="1" applyFont="1" applyBorder="1"/>
    <xf numFmtId="164" fontId="0" fillId="0" borderId="3" xfId="3" applyFont="1" applyBorder="1"/>
    <xf numFmtId="167" fontId="1" fillId="0" borderId="0" xfId="1" applyNumberFormat="1"/>
    <xf numFmtId="165" fontId="1" fillId="0" borderId="0" xfId="3" applyNumberFormat="1" applyFont="1"/>
    <xf numFmtId="165" fontId="1" fillId="0" borderId="0" xfId="3" applyNumberFormat="1" applyFont="1" applyFill="1" applyBorder="1"/>
    <xf numFmtId="164" fontId="11" fillId="0" borderId="3" xfId="1" applyNumberFormat="1" applyFont="1" applyBorder="1"/>
    <xf numFmtId="0" fontId="12" fillId="0" borderId="0" xfId="1" applyFont="1" applyAlignment="1">
      <alignment horizontal="left"/>
    </xf>
    <xf numFmtId="0" fontId="1" fillId="0" borderId="4" xfId="1" applyBorder="1"/>
    <xf numFmtId="10" fontId="11" fillId="0" borderId="5" xfId="4" applyNumberFormat="1" applyFont="1" applyBorder="1"/>
    <xf numFmtId="0" fontId="12" fillId="3" borderId="0" xfId="1" applyFont="1" applyFill="1"/>
    <xf numFmtId="0" fontId="1" fillId="3" borderId="0" xfId="1" applyFill="1"/>
    <xf numFmtId="165" fontId="1" fillId="3" borderId="0" xfId="1" applyNumberFormat="1" applyFill="1"/>
    <xf numFmtId="10" fontId="11" fillId="4" borderId="0" xfId="4" applyNumberFormat="1" applyFont="1" applyFill="1" applyBorder="1"/>
    <xf numFmtId="0" fontId="1" fillId="4" borderId="0" xfId="1" applyFill="1"/>
    <xf numFmtId="0" fontId="8" fillId="4" borderId="0" xfId="1" applyFont="1" applyFill="1"/>
    <xf numFmtId="165" fontId="1" fillId="4" borderId="0" xfId="1" applyNumberFormat="1" applyFill="1"/>
    <xf numFmtId="165" fontId="4" fillId="4" borderId="0" xfId="1" applyNumberFormat="1" applyFont="1" applyFill="1"/>
    <xf numFmtId="0" fontId="8" fillId="0" borderId="6" xfId="1" applyFont="1" applyBorder="1"/>
    <xf numFmtId="0" fontId="1" fillId="0" borderId="7" xfId="1" applyBorder="1" applyAlignment="1">
      <alignment horizontal="center"/>
    </xf>
    <xf numFmtId="0" fontId="1" fillId="0" borderId="8" xfId="1" applyBorder="1"/>
    <xf numFmtId="0" fontId="1" fillId="0" borderId="1" xfId="1" applyBorder="1"/>
    <xf numFmtId="0" fontId="1" fillId="0" borderId="2" xfId="1" applyBorder="1"/>
    <xf numFmtId="0" fontId="1" fillId="0" borderId="0" xfId="1" applyAlignment="1">
      <alignment horizontal="center"/>
    </xf>
    <xf numFmtId="164" fontId="1" fillId="0" borderId="0" xfId="3" applyFont="1"/>
    <xf numFmtId="0" fontId="1" fillId="0" borderId="9" xfId="1" applyBorder="1"/>
    <xf numFmtId="9" fontId="0" fillId="0" borderId="0" xfId="4" applyFont="1" applyBorder="1"/>
    <xf numFmtId="165" fontId="0" fillId="0" borderId="10" xfId="3" applyNumberFormat="1" applyFont="1" applyBorder="1"/>
    <xf numFmtId="165" fontId="1" fillId="2" borderId="0" xfId="1" applyNumberFormat="1" applyFill="1"/>
    <xf numFmtId="165" fontId="1" fillId="0" borderId="10" xfId="1" applyNumberFormat="1" applyBorder="1"/>
    <xf numFmtId="165" fontId="1" fillId="2" borderId="3" xfId="1" applyNumberFormat="1" applyFill="1" applyBorder="1"/>
    <xf numFmtId="168" fontId="0" fillId="0" borderId="0" xfId="4" applyNumberFormat="1" applyFont="1" applyBorder="1"/>
    <xf numFmtId="0" fontId="1" fillId="2" borderId="3" xfId="1" applyFill="1" applyBorder="1"/>
    <xf numFmtId="169" fontId="1" fillId="0" borderId="0" xfId="1" applyNumberFormat="1"/>
    <xf numFmtId="0" fontId="1" fillId="0" borderId="11" xfId="1" applyBorder="1"/>
    <xf numFmtId="9" fontId="0" fillId="0" borderId="12" xfId="4" applyFont="1" applyBorder="1"/>
    <xf numFmtId="165" fontId="0" fillId="0" borderId="13" xfId="3" applyNumberFormat="1" applyFont="1" applyBorder="1"/>
    <xf numFmtId="165" fontId="1" fillId="2" borderId="4" xfId="1" applyNumberFormat="1" applyFill="1" applyBorder="1"/>
    <xf numFmtId="165" fontId="1" fillId="0" borderId="13" xfId="1" applyNumberFormat="1" applyBorder="1"/>
    <xf numFmtId="165" fontId="1" fillId="2" borderId="5" xfId="1" applyNumberFormat="1" applyFill="1" applyBorder="1"/>
    <xf numFmtId="165" fontId="0" fillId="0" borderId="0" xfId="3" applyNumberFormat="1" applyFont="1" applyFill="1" applyBorder="1"/>
    <xf numFmtId="165" fontId="0" fillId="0" borderId="0" xfId="3" applyNumberFormat="1" applyFont="1" applyFill="1" applyBorder="1" applyAlignment="1"/>
    <xf numFmtId="0" fontId="1" fillId="0" borderId="14" xfId="1" applyBorder="1"/>
    <xf numFmtId="165" fontId="1" fillId="0" borderId="15" xfId="1" applyNumberFormat="1" applyBorder="1"/>
    <xf numFmtId="0" fontId="1" fillId="0" borderId="9" xfId="1" quotePrefix="1" applyBorder="1"/>
    <xf numFmtId="0" fontId="13" fillId="5" borderId="11" xfId="1" quotePrefix="1" applyFont="1" applyFill="1" applyBorder="1"/>
    <xf numFmtId="165" fontId="13" fillId="5" borderId="16" xfId="1" applyNumberFormat="1" applyFont="1" applyFill="1" applyBorder="1"/>
    <xf numFmtId="0" fontId="1" fillId="0" borderId="7" xfId="1" applyBorder="1"/>
    <xf numFmtId="0" fontId="4" fillId="2" borderId="9" xfId="1" applyFont="1" applyFill="1" applyBorder="1"/>
    <xf numFmtId="0" fontId="4" fillId="0" borderId="9" xfId="1" applyFont="1" applyBorder="1"/>
    <xf numFmtId="14" fontId="1" fillId="2" borderId="0" xfId="1" applyNumberFormat="1" applyFill="1"/>
    <xf numFmtId="14" fontId="1" fillId="2" borderId="0" xfId="0" applyNumberFormat="1" applyFont="1" applyFill="1"/>
    <xf numFmtId="0" fontId="1" fillId="0" borderId="15" xfId="1" applyBorder="1"/>
    <xf numFmtId="169" fontId="0" fillId="0" borderId="15" xfId="3" applyNumberFormat="1" applyFont="1" applyBorder="1"/>
    <xf numFmtId="0" fontId="4" fillId="3" borderId="11" xfId="1" applyFont="1" applyFill="1" applyBorder="1"/>
    <xf numFmtId="0" fontId="4" fillId="3" borderId="12" xfId="1" applyFont="1" applyFill="1" applyBorder="1"/>
    <xf numFmtId="164" fontId="4" fillId="3" borderId="16" xfId="3" applyFont="1" applyFill="1" applyBorder="1"/>
    <xf numFmtId="0" fontId="14" fillId="0" borderId="0" xfId="1" applyFont="1"/>
    <xf numFmtId="9" fontId="1" fillId="0" borderId="0" xfId="1" applyNumberForma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4" fillId="0" borderId="6" xfId="1" applyFont="1" applyBorder="1" applyAlignment="1">
      <alignment horizontal="center" wrapText="1"/>
    </xf>
    <xf numFmtId="0" fontId="4" fillId="0" borderId="7" xfId="1" applyFont="1" applyBorder="1" applyAlignment="1">
      <alignment horizontal="center" wrapText="1"/>
    </xf>
    <xf numFmtId="0" fontId="4" fillId="0" borderId="14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0" xfId="1" applyFont="1" applyAlignment="1">
      <alignment horizontal="center" wrapText="1"/>
    </xf>
    <xf numFmtId="0" fontId="4" fillId="0" borderId="15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 wrapText="1"/>
    </xf>
    <xf numFmtId="0" fontId="4" fillId="0" borderId="16" xfId="1" applyFont="1" applyBorder="1" applyAlignment="1">
      <alignment horizontal="center" wrapText="1"/>
    </xf>
  </cellXfs>
  <cellStyles count="5">
    <cellStyle name="Hyperlink" xfId="2" xr:uid="{01D5F705-A936-4B42-BC1A-34B94189C030}"/>
    <cellStyle name="Komma 9" xfId="3" xr:uid="{E6454BF3-6F81-6D45-AD2E-F7605AA4C052}"/>
    <cellStyle name="Normal" xfId="0" builtinId="0"/>
    <cellStyle name="Normal 2" xfId="1" xr:uid="{B03C6961-F151-954D-A246-A671F8A57FBE}"/>
    <cellStyle name="Procent 8" xfId="4" xr:uid="{42C4DFCC-11CE-A040-8B2C-067463EA2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fif.sharepoint.com/Users/eng/Downloads/2024%20Master%20skabelon%20&#8211;%20NY%20(1).xlsx" TargetMode="External"/><Relationship Id="rId1" Type="http://schemas.openxmlformats.org/officeDocument/2006/relationships/externalLinkPath" Target="https://efif.sharepoint.com/Users/eng/Downloads/2024%20Master%20skabelon%20&#8211;%20N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lig skat før boligkøb"/>
      <sheetName val="Ægtepar skat før boligkøb"/>
      <sheetName val="Budget før boligkøb"/>
      <sheetName val="NY Hvordan finansieres boligen"/>
      <sheetName val="Banklån"/>
      <sheetName val="Realkredit finansiering"/>
      <sheetName val="F5"/>
      <sheetName val="Enlig skat efter boligkøb"/>
      <sheetName val="Ægtepar skat efter boligkøb"/>
      <sheetName val="Budget efter boligkøb"/>
      <sheetName val="Rådighedsbeløb - oversigt"/>
      <sheetName val="Nedkonvertering"/>
      <sheetName val="Opkonvertering"/>
      <sheetName val="Byg realkredit beregn restgæld"/>
      <sheetName val="Pensionsberegner 2024"/>
      <sheetName val="Investering"/>
      <sheetName val="Hvor meget har jeg at leve for"/>
      <sheetName val="Andelsboliglån"/>
      <sheetName val="Andelsværdiberegner"/>
      <sheetName val="Forældrekøb"/>
      <sheetName val="Låneskabelon"/>
      <sheetName val="Skattesatser"/>
      <sheetName val="Ark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sdaqomxnordic.com/obligationer/danmark/?languageId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1DA4-7DCE-9D49-80D9-A8006BC0AA0C}">
  <dimension ref="B1:AF110"/>
  <sheetViews>
    <sheetView tabSelected="1" topLeftCell="G1" zoomScaleNormal="100" workbookViewId="0">
      <selection activeCell="R8" sqref="R8"/>
    </sheetView>
  </sheetViews>
  <sheetFormatPr baseColWidth="10" defaultColWidth="8.83203125" defaultRowHeight="13" x14ac:dyDescent="0.15"/>
  <cols>
    <col min="1" max="1" width="0" style="1" hidden="1" customWidth="1"/>
    <col min="2" max="2" width="11.6640625" style="1" hidden="1" customWidth="1"/>
    <col min="3" max="4" width="12" style="1" hidden="1" customWidth="1"/>
    <col min="5" max="5" width="11.5" style="1" hidden="1" customWidth="1"/>
    <col min="6" max="6" width="0" style="1" hidden="1" customWidth="1"/>
    <col min="7" max="7" width="66.6640625" style="1" customWidth="1"/>
    <col min="8" max="8" width="17.83203125" style="1" customWidth="1"/>
    <col min="9" max="9" width="15.6640625" style="1" customWidth="1"/>
    <col min="10" max="10" width="13.83203125" style="1" customWidth="1"/>
    <col min="11" max="11" width="12.6640625" style="1" customWidth="1"/>
    <col min="12" max="12" width="11.5" style="1" customWidth="1"/>
    <col min="13" max="13" width="13" style="1" bestFit="1" customWidth="1"/>
    <col min="14" max="14" width="14" style="1" bestFit="1" customWidth="1"/>
    <col min="15" max="15" width="12" style="1" customWidth="1"/>
    <col min="16" max="17" width="13.5" style="1" customWidth="1"/>
    <col min="18" max="18" width="11.5" style="1" customWidth="1"/>
    <col min="19" max="19" width="14.5" style="1" customWidth="1"/>
    <col min="20" max="20" width="16.5" style="1" customWidth="1"/>
    <col min="21" max="21" width="17.33203125" style="1" customWidth="1"/>
    <col min="22" max="16384" width="8.83203125" style="1"/>
  </cols>
  <sheetData>
    <row r="1" spans="2:21" ht="30" x14ac:dyDescent="0.3">
      <c r="G1" s="2" t="s">
        <v>0</v>
      </c>
      <c r="H1" s="3" t="s">
        <v>1</v>
      </c>
      <c r="I1" s="4"/>
      <c r="J1" s="4"/>
      <c r="K1" s="4"/>
      <c r="L1" s="4"/>
      <c r="M1" s="4"/>
    </row>
    <row r="3" spans="2:21" hidden="1" x14ac:dyDescent="0.15"/>
    <row r="4" spans="2:21" ht="15" x14ac:dyDescent="0.2">
      <c r="G4" s="5" t="s">
        <v>2</v>
      </c>
      <c r="H4" s="6" t="s">
        <v>3</v>
      </c>
    </row>
    <row r="5" spans="2:21" x14ac:dyDescent="0.15">
      <c r="C5" s="7"/>
      <c r="D5" s="7"/>
      <c r="M5" s="8" t="s">
        <v>4</v>
      </c>
    </row>
    <row r="6" spans="2:21" x14ac:dyDescent="0.15">
      <c r="B6" s="9"/>
      <c r="C6" s="7"/>
      <c r="D6" s="7"/>
    </row>
    <row r="7" spans="2:21" x14ac:dyDescent="0.15">
      <c r="B7" s="9"/>
      <c r="C7" s="7"/>
      <c r="D7" s="7"/>
      <c r="G7" s="10" t="s">
        <v>5</v>
      </c>
      <c r="H7" s="11" t="s">
        <v>6</v>
      </c>
      <c r="I7" s="11" t="s">
        <v>7</v>
      </c>
      <c r="J7" s="11" t="s">
        <v>8</v>
      </c>
      <c r="K7" s="11" t="s">
        <v>9</v>
      </c>
      <c r="L7" s="11"/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0" t="s">
        <v>17</v>
      </c>
      <c r="U7" s="10"/>
    </row>
    <row r="8" spans="2:21" ht="16" x14ac:dyDescent="0.2">
      <c r="B8" s="7"/>
      <c r="C8" s="7"/>
      <c r="D8" s="7"/>
      <c r="G8" s="12" t="s">
        <v>64</v>
      </c>
      <c r="H8" s="13">
        <v>107.9</v>
      </c>
      <c r="I8" s="13">
        <v>99.8</v>
      </c>
      <c r="J8" s="13">
        <v>200</v>
      </c>
      <c r="K8" s="14">
        <v>45611</v>
      </c>
      <c r="L8" s="15"/>
      <c r="M8" s="13">
        <v>1</v>
      </c>
      <c r="N8" s="13">
        <v>1</v>
      </c>
      <c r="O8" s="16">
        <f>H8*J8*M8</f>
        <v>21580</v>
      </c>
      <c r="P8" s="16">
        <f>I8*J8*N8</f>
        <v>19960</v>
      </c>
      <c r="Q8" s="17">
        <f>P8/$P$27</f>
        <v>1.0680124451059795E-2</v>
      </c>
      <c r="R8" s="18">
        <f>P8-O8</f>
        <v>-1620</v>
      </c>
      <c r="T8" s="18">
        <f t="shared" ref="T8:T13" si="0">R8</f>
        <v>-1620</v>
      </c>
      <c r="U8" s="18"/>
    </row>
    <row r="9" spans="2:21" ht="16" x14ac:dyDescent="0.2">
      <c r="B9" s="7"/>
      <c r="D9" s="4"/>
      <c r="G9" s="12" t="s">
        <v>65</v>
      </c>
      <c r="H9" s="13">
        <v>100</v>
      </c>
      <c r="I9" s="13">
        <v>92</v>
      </c>
      <c r="J9" s="13">
        <v>300</v>
      </c>
      <c r="K9" s="14">
        <v>45295</v>
      </c>
      <c r="L9" s="15"/>
      <c r="M9" s="13">
        <v>1</v>
      </c>
      <c r="N9" s="13">
        <v>1</v>
      </c>
      <c r="O9" s="16">
        <f t="shared" ref="O9:O23" si="1">H9*J9*M9</f>
        <v>30000</v>
      </c>
      <c r="P9" s="16">
        <f t="shared" ref="P9:P23" si="2">I9*J9*N9</f>
        <v>27600</v>
      </c>
      <c r="Q9" s="17">
        <f>P9/$P$27</f>
        <v>1.4768107958379276E-2</v>
      </c>
      <c r="R9" s="18">
        <f t="shared" ref="R9:R25" si="3">P9-O9</f>
        <v>-2400</v>
      </c>
      <c r="T9" s="18">
        <f t="shared" si="0"/>
        <v>-2400</v>
      </c>
    </row>
    <row r="10" spans="2:21" ht="16" x14ac:dyDescent="0.2">
      <c r="B10" s="7"/>
      <c r="D10" s="4"/>
      <c r="G10" s="12" t="s">
        <v>66</v>
      </c>
      <c r="H10" s="13">
        <v>95.25</v>
      </c>
      <c r="I10" s="13">
        <v>99.95</v>
      </c>
      <c r="J10" s="13">
        <v>1000</v>
      </c>
      <c r="K10" s="14">
        <v>45761</v>
      </c>
      <c r="L10" s="15"/>
      <c r="M10" s="13">
        <v>1</v>
      </c>
      <c r="N10" s="13">
        <v>1</v>
      </c>
      <c r="O10" s="16">
        <f t="shared" si="1"/>
        <v>95250</v>
      </c>
      <c r="P10" s="16">
        <f t="shared" si="2"/>
        <v>99950</v>
      </c>
      <c r="Q10" s="17">
        <f t="shared" ref="Q10:Q27" si="4">P10/$P$27</f>
        <v>5.3480883711594519E-2</v>
      </c>
      <c r="R10" s="18">
        <f t="shared" si="3"/>
        <v>4700</v>
      </c>
      <c r="T10" s="18">
        <f t="shared" si="0"/>
        <v>4700</v>
      </c>
    </row>
    <row r="11" spans="2:21" ht="16" x14ac:dyDescent="0.2">
      <c r="B11" s="7"/>
      <c r="D11" s="4"/>
      <c r="G11" s="12" t="s">
        <v>69</v>
      </c>
      <c r="H11" s="13">
        <v>100</v>
      </c>
      <c r="I11" s="13">
        <v>97.64</v>
      </c>
      <c r="J11" s="13">
        <v>200</v>
      </c>
      <c r="K11" s="14"/>
      <c r="L11" s="15"/>
      <c r="M11" s="13">
        <v>1</v>
      </c>
      <c r="N11" s="13">
        <v>1</v>
      </c>
      <c r="O11" s="16">
        <f t="shared" si="1"/>
        <v>20000</v>
      </c>
      <c r="P11" s="16">
        <f t="shared" si="2"/>
        <v>19528</v>
      </c>
      <c r="Q11" s="17">
        <f t="shared" si="4"/>
        <v>1.0448971456928642E-2</v>
      </c>
      <c r="R11" s="18">
        <f t="shared" si="3"/>
        <v>-472</v>
      </c>
      <c r="T11" s="18">
        <f t="shared" si="0"/>
        <v>-472</v>
      </c>
    </row>
    <row r="12" spans="2:21" ht="17" thickBot="1" x14ac:dyDescent="0.25">
      <c r="G12" s="12"/>
      <c r="H12" s="13"/>
      <c r="I12" s="13"/>
      <c r="J12" s="13"/>
      <c r="K12" s="19"/>
      <c r="L12" s="15"/>
      <c r="M12" s="13"/>
      <c r="N12" s="13"/>
      <c r="O12" s="16">
        <f t="shared" si="1"/>
        <v>0</v>
      </c>
      <c r="P12" s="16">
        <f t="shared" si="2"/>
        <v>0</v>
      </c>
      <c r="Q12" s="17">
        <f t="shared" si="4"/>
        <v>0</v>
      </c>
      <c r="R12" s="18">
        <f t="shared" si="3"/>
        <v>0</v>
      </c>
      <c r="T12" s="18">
        <f t="shared" si="0"/>
        <v>0</v>
      </c>
    </row>
    <row r="13" spans="2:21" ht="16" x14ac:dyDescent="0.2">
      <c r="B13" s="20"/>
      <c r="C13" s="20" t="s">
        <v>18</v>
      </c>
      <c r="D13" s="20" t="s">
        <v>19</v>
      </c>
      <c r="E13" s="21" t="s">
        <v>20</v>
      </c>
      <c r="G13" s="12"/>
      <c r="H13" s="13"/>
      <c r="I13" s="13"/>
      <c r="J13" s="13"/>
      <c r="K13" s="19"/>
      <c r="L13" s="15"/>
      <c r="M13" s="13"/>
      <c r="N13" s="13"/>
      <c r="O13" s="16">
        <f t="shared" si="1"/>
        <v>0</v>
      </c>
      <c r="P13" s="16">
        <f t="shared" si="2"/>
        <v>0</v>
      </c>
      <c r="Q13" s="17">
        <f t="shared" si="4"/>
        <v>0</v>
      </c>
      <c r="R13" s="18">
        <f t="shared" si="3"/>
        <v>0</v>
      </c>
      <c r="T13" s="18">
        <f t="shared" si="0"/>
        <v>0</v>
      </c>
    </row>
    <row r="14" spans="2:21" x14ac:dyDescent="0.15">
      <c r="B14" s="11"/>
      <c r="C14" s="11"/>
      <c r="D14" s="11"/>
      <c r="E14" s="22"/>
      <c r="G14" s="23" t="s">
        <v>21</v>
      </c>
      <c r="H14" s="24"/>
      <c r="I14" s="24"/>
      <c r="J14" s="24"/>
      <c r="K14" s="10"/>
      <c r="L14" s="11"/>
      <c r="M14" s="10"/>
      <c r="N14" s="10"/>
      <c r="O14" s="24">
        <f>SUM(O8:O13)</f>
        <v>166830</v>
      </c>
      <c r="P14" s="24">
        <f>SUM(P8:P13)</f>
        <v>167038</v>
      </c>
      <c r="Q14" s="25">
        <f t="shared" si="4"/>
        <v>8.9378087577962229E-2</v>
      </c>
      <c r="R14" s="26">
        <f t="shared" si="3"/>
        <v>208</v>
      </c>
      <c r="S14" s="10"/>
      <c r="T14" s="10"/>
      <c r="U14" s="10"/>
    </row>
    <row r="15" spans="2:21" x14ac:dyDescent="0.15">
      <c r="B15" s="11"/>
      <c r="C15" s="11"/>
      <c r="D15" s="11"/>
      <c r="E15" s="22"/>
      <c r="G15" s="23"/>
      <c r="H15" s="24"/>
      <c r="I15" s="24"/>
      <c r="J15" s="24"/>
      <c r="K15" s="10"/>
      <c r="L15" s="11"/>
      <c r="M15" s="10"/>
      <c r="N15" s="10"/>
      <c r="O15" s="24"/>
      <c r="P15" s="24"/>
      <c r="Q15" s="25"/>
      <c r="R15" s="26"/>
      <c r="S15" s="10"/>
      <c r="T15" s="10"/>
    </row>
    <row r="16" spans="2:21" x14ac:dyDescent="0.15">
      <c r="B16" s="11"/>
      <c r="C16" s="11"/>
      <c r="D16" s="11"/>
      <c r="E16" s="22"/>
      <c r="G16" s="23" t="s">
        <v>22</v>
      </c>
      <c r="H16" s="24"/>
      <c r="I16" s="24"/>
      <c r="J16" s="24"/>
      <c r="K16" s="10"/>
      <c r="L16" s="11"/>
      <c r="M16" s="10"/>
      <c r="N16" s="10"/>
      <c r="O16" s="24"/>
      <c r="P16" s="24"/>
      <c r="Q16" s="25"/>
      <c r="R16" s="26"/>
      <c r="S16" s="10"/>
      <c r="T16" s="10"/>
    </row>
    <row r="17" spans="2:32" ht="17" thickBot="1" x14ac:dyDescent="0.25">
      <c r="B17" s="27"/>
      <c r="C17" s="28" t="s">
        <v>23</v>
      </c>
      <c r="D17" s="28" t="s">
        <v>24</v>
      </c>
      <c r="E17" s="29" t="s">
        <v>25</v>
      </c>
      <c r="G17" s="91" t="s">
        <v>72</v>
      </c>
      <c r="H17" s="94">
        <v>19.649999999999999</v>
      </c>
      <c r="I17" s="94">
        <v>225.31</v>
      </c>
      <c r="J17" s="94">
        <v>200</v>
      </c>
      <c r="K17" s="92"/>
      <c r="L17" s="93"/>
      <c r="M17" s="94">
        <v>6.5</v>
      </c>
      <c r="N17" s="94">
        <v>6.84</v>
      </c>
      <c r="O17" s="16">
        <f t="shared" si="1"/>
        <v>25544.999999999996</v>
      </c>
      <c r="P17" s="16">
        <f t="shared" si="2"/>
        <v>308224.08</v>
      </c>
      <c r="Q17" s="17">
        <f t="shared" si="4"/>
        <v>0.16492342350768591</v>
      </c>
      <c r="R17" s="18">
        <f t="shared" si="3"/>
        <v>282679.08</v>
      </c>
      <c r="S17" s="18">
        <f t="shared" ref="S17:S23" si="5">R17</f>
        <v>282679.08</v>
      </c>
      <c r="U17" s="30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2:32" ht="16" x14ac:dyDescent="0.2">
      <c r="B18" s="31"/>
      <c r="C18" s="32" t="s">
        <v>0</v>
      </c>
      <c r="D18" s="33" t="s">
        <v>0</v>
      </c>
      <c r="E18" s="34" t="s">
        <v>0</v>
      </c>
      <c r="G18" s="92" t="s">
        <v>68</v>
      </c>
      <c r="H18" s="94">
        <v>900.2</v>
      </c>
      <c r="I18" s="94">
        <v>890.8</v>
      </c>
      <c r="J18" s="94">
        <v>500</v>
      </c>
      <c r="K18" s="92" t="s">
        <v>0</v>
      </c>
      <c r="L18" s="93"/>
      <c r="M18" s="94">
        <v>1</v>
      </c>
      <c r="N18" s="94">
        <v>1</v>
      </c>
      <c r="O18" s="16">
        <f t="shared" si="1"/>
        <v>450100</v>
      </c>
      <c r="P18" s="16">
        <f t="shared" si="2"/>
        <v>445400</v>
      </c>
      <c r="Q18" s="17">
        <f t="shared" si="4"/>
        <v>0.23832301756022209</v>
      </c>
      <c r="R18" s="18">
        <f t="shared" si="3"/>
        <v>-4700</v>
      </c>
      <c r="S18" s="18">
        <f t="shared" si="5"/>
        <v>-4700</v>
      </c>
      <c r="U18" s="30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2:32" ht="16" x14ac:dyDescent="0.2">
      <c r="B19" s="31"/>
      <c r="C19" s="32">
        <v>4</v>
      </c>
      <c r="D19" s="35" t="e">
        <f>(1+$E$32)^-#REF!</f>
        <v>#REF!</v>
      </c>
      <c r="E19" s="34" t="e">
        <f t="shared" ref="E19:E30" si="6">D19*C19</f>
        <v>#REF!</v>
      </c>
      <c r="G19" s="92" t="s">
        <v>67</v>
      </c>
      <c r="H19" s="94">
        <v>698.1</v>
      </c>
      <c r="I19" s="94">
        <v>550.20000000000005</v>
      </c>
      <c r="J19" s="94">
        <v>400</v>
      </c>
      <c r="K19" s="92"/>
      <c r="L19" s="93"/>
      <c r="M19" s="94">
        <v>1</v>
      </c>
      <c r="N19" s="94">
        <v>1</v>
      </c>
      <c r="O19" s="16">
        <f t="shared" si="1"/>
        <v>279240</v>
      </c>
      <c r="P19" s="16">
        <f t="shared" si="2"/>
        <v>220080.00000000003</v>
      </c>
      <c r="Q19" s="17">
        <f t="shared" si="4"/>
        <v>0.11775960867681563</v>
      </c>
      <c r="R19" s="18">
        <f t="shared" si="3"/>
        <v>-59159.999999999971</v>
      </c>
      <c r="S19" s="18">
        <f t="shared" si="5"/>
        <v>-59159.999999999971</v>
      </c>
      <c r="U19" s="30"/>
      <c r="V19" s="30"/>
      <c r="W19" s="4"/>
      <c r="X19" s="4"/>
      <c r="Y19" s="4"/>
      <c r="Z19" s="4"/>
      <c r="AA19" s="4"/>
      <c r="AB19" s="4"/>
      <c r="AC19" s="30"/>
      <c r="AD19" s="4"/>
      <c r="AE19" s="4"/>
      <c r="AF19" s="4"/>
    </row>
    <row r="20" spans="2:32" ht="16" x14ac:dyDescent="0.2">
      <c r="B20" s="31"/>
      <c r="C20" s="32">
        <v>4</v>
      </c>
      <c r="D20" s="35" t="e">
        <f>(1+$E$32)^-#REF!</f>
        <v>#REF!</v>
      </c>
      <c r="E20" s="34" t="e">
        <f t="shared" si="6"/>
        <v>#REF!</v>
      </c>
      <c r="G20" s="92" t="s">
        <v>70</v>
      </c>
      <c r="H20" s="95">
        <v>10210</v>
      </c>
      <c r="I20" s="95">
        <v>11765</v>
      </c>
      <c r="J20" s="94">
        <v>10</v>
      </c>
      <c r="K20" s="92"/>
      <c r="L20" s="93"/>
      <c r="M20" s="94">
        <v>1</v>
      </c>
      <c r="N20" s="94">
        <v>1</v>
      </c>
      <c r="O20" s="16">
        <f t="shared" si="1"/>
        <v>102100</v>
      </c>
      <c r="P20" s="16">
        <f t="shared" si="2"/>
        <v>117650</v>
      </c>
      <c r="Q20" s="17">
        <f t="shared" si="4"/>
        <v>6.2951735554468188E-2</v>
      </c>
      <c r="R20" s="18">
        <f t="shared" si="3"/>
        <v>15550</v>
      </c>
      <c r="S20" s="18">
        <f t="shared" si="5"/>
        <v>15550</v>
      </c>
      <c r="U20" s="30"/>
      <c r="V20" s="30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2:32" ht="16" x14ac:dyDescent="0.2">
      <c r="B21" s="31"/>
      <c r="C21" s="32">
        <v>4</v>
      </c>
      <c r="D21" s="35" t="e">
        <f>(1+$E$32)^-#REF!</f>
        <v>#REF!</v>
      </c>
      <c r="E21" s="34" t="e">
        <f t="shared" si="6"/>
        <v>#REF!</v>
      </c>
      <c r="G21" s="92" t="s">
        <v>71</v>
      </c>
      <c r="H21" s="94">
        <v>138</v>
      </c>
      <c r="I21" s="94">
        <v>244.2</v>
      </c>
      <c r="J21" s="95">
        <v>2500</v>
      </c>
      <c r="K21" s="92"/>
      <c r="L21" s="93"/>
      <c r="M21" s="94">
        <v>1</v>
      </c>
      <c r="N21" s="94">
        <v>1</v>
      </c>
      <c r="O21" s="16">
        <f t="shared" si="1"/>
        <v>345000</v>
      </c>
      <c r="P21" s="16">
        <f t="shared" si="2"/>
        <v>610500</v>
      </c>
      <c r="Q21" s="17">
        <f t="shared" si="4"/>
        <v>0.32666412712284593</v>
      </c>
      <c r="R21" s="18">
        <f t="shared" si="3"/>
        <v>265500</v>
      </c>
      <c r="S21" s="18">
        <f t="shared" si="5"/>
        <v>265500</v>
      </c>
      <c r="T21" s="18"/>
    </row>
    <row r="22" spans="2:32" ht="16" x14ac:dyDescent="0.2">
      <c r="B22" s="31"/>
      <c r="C22" s="32">
        <v>4</v>
      </c>
      <c r="D22" s="35" t="e">
        <f>(1+$E$32)^-#REF!</f>
        <v>#REF!</v>
      </c>
      <c r="E22" s="34" t="e">
        <f t="shared" si="6"/>
        <v>#REF!</v>
      </c>
      <c r="G22" s="92"/>
      <c r="H22" s="94"/>
      <c r="I22" s="94"/>
      <c r="J22" s="95"/>
      <c r="K22" s="92"/>
      <c r="L22" s="93"/>
      <c r="M22" s="94">
        <v>1</v>
      </c>
      <c r="N22" s="94">
        <v>1</v>
      </c>
      <c r="O22" s="16">
        <f t="shared" si="1"/>
        <v>0</v>
      </c>
      <c r="P22" s="16">
        <f t="shared" si="2"/>
        <v>0</v>
      </c>
      <c r="Q22" s="17">
        <f t="shared" si="4"/>
        <v>0</v>
      </c>
      <c r="R22" s="18">
        <f t="shared" si="3"/>
        <v>0</v>
      </c>
      <c r="S22" s="18">
        <f t="shared" si="5"/>
        <v>0</v>
      </c>
    </row>
    <row r="23" spans="2:32" ht="16" x14ac:dyDescent="0.2">
      <c r="B23" s="31"/>
      <c r="C23" s="32">
        <v>4</v>
      </c>
      <c r="D23" s="35" t="e">
        <f>(1+$E$32)^-#REF!</f>
        <v>#REF!</v>
      </c>
      <c r="E23" s="34" t="e">
        <f t="shared" si="6"/>
        <v>#REF!</v>
      </c>
      <c r="G23" s="92"/>
      <c r="H23" s="94"/>
      <c r="I23" s="94"/>
      <c r="J23" s="94"/>
      <c r="K23" s="92"/>
      <c r="L23" s="93"/>
      <c r="M23" s="94"/>
      <c r="N23" s="94"/>
      <c r="O23" s="16">
        <f t="shared" si="1"/>
        <v>0</v>
      </c>
      <c r="P23" s="16">
        <f t="shared" si="2"/>
        <v>0</v>
      </c>
      <c r="Q23" s="17">
        <f t="shared" si="4"/>
        <v>0</v>
      </c>
      <c r="R23" s="18">
        <f t="shared" si="3"/>
        <v>0</v>
      </c>
      <c r="S23" s="18">
        <f t="shared" si="5"/>
        <v>0</v>
      </c>
    </row>
    <row r="24" spans="2:32" ht="16" x14ac:dyDescent="0.2">
      <c r="B24" s="31"/>
      <c r="C24" s="32">
        <v>4</v>
      </c>
      <c r="D24" s="35" t="e">
        <f>(1+$E$32)^-#REF!</f>
        <v>#REF!</v>
      </c>
      <c r="E24" s="34" t="e">
        <f t="shared" si="6"/>
        <v>#REF!</v>
      </c>
      <c r="G24" s="92" t="s">
        <v>0</v>
      </c>
      <c r="H24" s="94" t="s">
        <v>0</v>
      </c>
      <c r="I24" s="94" t="s">
        <v>0</v>
      </c>
      <c r="J24" s="94" t="s">
        <v>0</v>
      </c>
      <c r="K24" s="92" t="s">
        <v>0</v>
      </c>
      <c r="L24" s="93"/>
      <c r="M24" s="92" t="s">
        <v>0</v>
      </c>
      <c r="N24" s="92" t="s">
        <v>0</v>
      </c>
      <c r="O24" s="36"/>
      <c r="P24" s="36" t="s">
        <v>0</v>
      </c>
      <c r="Q24" s="17"/>
      <c r="R24" s="18"/>
      <c r="S24" s="18" t="s">
        <v>26</v>
      </c>
    </row>
    <row r="25" spans="2:32" ht="16" x14ac:dyDescent="0.2">
      <c r="B25" s="31"/>
      <c r="C25" s="32">
        <v>4</v>
      </c>
      <c r="D25" s="35" t="e">
        <f>(1+$E$32)^-#REF!</f>
        <v>#REF!</v>
      </c>
      <c r="E25" s="34" t="e">
        <f t="shared" si="6"/>
        <v>#REF!</v>
      </c>
      <c r="G25" s="10" t="s">
        <v>27</v>
      </c>
      <c r="H25" s="10"/>
      <c r="I25" s="10"/>
      <c r="J25" s="10"/>
      <c r="K25" s="10"/>
      <c r="L25" s="10"/>
      <c r="M25" s="10"/>
      <c r="N25" s="10"/>
      <c r="O25" s="24">
        <f>SUM(O17:O24)</f>
        <v>1201985</v>
      </c>
      <c r="P25" s="26">
        <f>SUM(P17:P24)</f>
        <v>1701854.08</v>
      </c>
      <c r="Q25" s="25">
        <f t="shared" si="4"/>
        <v>0.91062191242203772</v>
      </c>
      <c r="R25" s="26">
        <f t="shared" si="3"/>
        <v>499869.08000000007</v>
      </c>
      <c r="S25" s="10"/>
      <c r="T25" s="10"/>
    </row>
    <row r="26" spans="2:32" ht="16" x14ac:dyDescent="0.2">
      <c r="B26" s="31"/>
      <c r="C26" s="32"/>
      <c r="D26" s="35"/>
      <c r="E26" s="34"/>
      <c r="H26" s="10"/>
      <c r="O26" s="16"/>
      <c r="P26" s="18"/>
      <c r="Q26" s="18"/>
      <c r="R26" s="18"/>
    </row>
    <row r="27" spans="2:32" ht="16" x14ac:dyDescent="0.2">
      <c r="B27" s="31"/>
      <c r="C27" s="32">
        <v>4</v>
      </c>
      <c r="D27" s="35" t="e">
        <f>(1+$E$32)^-#REF!</f>
        <v>#REF!</v>
      </c>
      <c r="E27" s="34" t="e">
        <f t="shared" si="6"/>
        <v>#REF!</v>
      </c>
      <c r="G27" s="10" t="s">
        <v>28</v>
      </c>
      <c r="H27" s="10"/>
      <c r="I27" s="10"/>
      <c r="J27" s="10"/>
      <c r="K27" s="10"/>
      <c r="L27" s="10"/>
      <c r="M27" s="10"/>
      <c r="N27" s="10"/>
      <c r="O27" s="24">
        <f>O14+O25</f>
        <v>1368815</v>
      </c>
      <c r="P27" s="24">
        <f>P14+P25</f>
        <v>1868892.08</v>
      </c>
      <c r="Q27" s="17">
        <f t="shared" si="4"/>
        <v>1</v>
      </c>
      <c r="R27" s="24">
        <f>R14+R25</f>
        <v>500077.08000000007</v>
      </c>
      <c r="S27" s="10"/>
      <c r="T27" s="10"/>
      <c r="U27" s="10"/>
    </row>
    <row r="28" spans="2:32" ht="16" x14ac:dyDescent="0.2">
      <c r="B28" s="31"/>
      <c r="C28" s="32">
        <v>4</v>
      </c>
      <c r="D28" s="35" t="e">
        <f>(1+$E$32)^-#REF!</f>
        <v>#REF!</v>
      </c>
      <c r="E28" s="34" t="e">
        <f t="shared" si="6"/>
        <v>#REF!</v>
      </c>
    </row>
    <row r="29" spans="2:32" ht="16" x14ac:dyDescent="0.2">
      <c r="B29" s="31"/>
      <c r="C29" s="32">
        <v>4</v>
      </c>
      <c r="D29" s="35" t="e">
        <f>(1+$E$32)^-#REF!</f>
        <v>#REF!</v>
      </c>
      <c r="E29" s="34" t="e">
        <f t="shared" si="6"/>
        <v>#REF!</v>
      </c>
      <c r="G29" s="10" t="s">
        <v>29</v>
      </c>
      <c r="H29" s="1" t="s">
        <v>0</v>
      </c>
      <c r="T29" s="16">
        <f>J85</f>
        <v>904.19178082191775</v>
      </c>
    </row>
    <row r="30" spans="2:32" ht="16" x14ac:dyDescent="0.2">
      <c r="B30" s="31"/>
      <c r="C30" s="32">
        <v>104</v>
      </c>
      <c r="D30" s="35" t="e">
        <f>(1+$E$32)^-#REF!</f>
        <v>#REF!</v>
      </c>
      <c r="E30" s="34" t="e">
        <f t="shared" si="6"/>
        <v>#REF!</v>
      </c>
      <c r="O30" s="18"/>
    </row>
    <row r="31" spans="2:32" ht="16" x14ac:dyDescent="0.2">
      <c r="D31" s="5" t="s">
        <v>30</v>
      </c>
      <c r="E31" s="38" t="e">
        <f>SUM(E18:E30)</f>
        <v>#REF!</v>
      </c>
      <c r="G31" s="39" t="s">
        <v>31</v>
      </c>
      <c r="S31" s="18">
        <f>SUM(S17:S30)</f>
        <v>499869.08000000007</v>
      </c>
      <c r="T31" s="18">
        <f>SUM(T8:T29)</f>
        <v>1112.1917808219177</v>
      </c>
      <c r="U31" s="18"/>
    </row>
    <row r="32" spans="2:32" ht="17" thickBot="1" x14ac:dyDescent="0.25">
      <c r="B32" s="40"/>
      <c r="C32" s="40"/>
      <c r="D32" s="40"/>
      <c r="E32" s="41">
        <v>3.6604445559174088E-2</v>
      </c>
      <c r="G32" s="42" t="s">
        <v>32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4">
        <f>J37+J38+L37+L38</f>
        <v>200450.01360000003</v>
      </c>
      <c r="T32" s="44">
        <f>J35+J36+L35+L36</f>
        <v>411.51095890410954</v>
      </c>
      <c r="U32" s="44" t="s">
        <v>33</v>
      </c>
      <c r="V32" s="44">
        <f>S32+T32</f>
        <v>200861.52455890414</v>
      </c>
    </row>
    <row r="33" spans="5:22" s="46" customFormat="1" ht="14" thickBot="1" x14ac:dyDescent="0.2">
      <c r="E33" s="45"/>
      <c r="G33" s="47"/>
      <c r="S33" s="48"/>
      <c r="T33" s="48"/>
      <c r="U33" s="49"/>
      <c r="V33" s="49"/>
    </row>
    <row r="34" spans="5:22" x14ac:dyDescent="0.15">
      <c r="G34" s="50" t="s">
        <v>34</v>
      </c>
      <c r="H34" s="51" t="s">
        <v>35</v>
      </c>
      <c r="I34" s="52" t="s">
        <v>36</v>
      </c>
      <c r="J34" s="53" t="s">
        <v>37</v>
      </c>
      <c r="K34" s="52" t="s">
        <v>38</v>
      </c>
      <c r="L34" s="54" t="s">
        <v>39</v>
      </c>
      <c r="M34" s="55"/>
      <c r="O34" s="55"/>
      <c r="U34" s="56" t="s">
        <v>0</v>
      </c>
    </row>
    <row r="35" spans="5:22" ht="16" x14ac:dyDescent="0.2">
      <c r="G35" s="57" t="s">
        <v>40</v>
      </c>
      <c r="H35" s="58">
        <v>0.37</v>
      </c>
      <c r="I35" s="59">
        <f>K35*2</f>
        <v>104800</v>
      </c>
      <c r="J35" s="60"/>
      <c r="K35" s="61">
        <v>52400</v>
      </c>
      <c r="L35" s="62">
        <f>T31*H35</f>
        <v>411.51095890410954</v>
      </c>
      <c r="M35" s="37"/>
      <c r="O35" s="37"/>
      <c r="Q35" s="18"/>
      <c r="S35" s="1" t="s">
        <v>0</v>
      </c>
      <c r="T35" s="18" t="s">
        <v>0</v>
      </c>
    </row>
    <row r="36" spans="5:22" ht="16" x14ac:dyDescent="0.2">
      <c r="G36" s="57" t="s">
        <v>41</v>
      </c>
      <c r="H36" s="63">
        <v>0.42</v>
      </c>
      <c r="I36" s="59">
        <f>I35</f>
        <v>104800</v>
      </c>
      <c r="J36" s="60"/>
      <c r="K36" s="61">
        <f>K35</f>
        <v>52400</v>
      </c>
      <c r="L36" s="64"/>
      <c r="M36" s="37"/>
      <c r="O36" s="37"/>
      <c r="S36" s="18" t="s">
        <v>0</v>
      </c>
      <c r="T36" s="18" t="s">
        <v>0</v>
      </c>
    </row>
    <row r="37" spans="5:22" ht="16" x14ac:dyDescent="0.2">
      <c r="G37" s="57" t="s">
        <v>42</v>
      </c>
      <c r="H37" s="58">
        <v>0.27</v>
      </c>
      <c r="I37" s="59">
        <f>2*K37</f>
        <v>126600</v>
      </c>
      <c r="J37" s="60"/>
      <c r="K37" s="61">
        <v>63300</v>
      </c>
      <c r="L37" s="62">
        <f>K37*H37</f>
        <v>17091</v>
      </c>
      <c r="M37" s="37"/>
      <c r="O37" s="37"/>
      <c r="S37" s="65" t="s">
        <v>0</v>
      </c>
    </row>
    <row r="38" spans="5:22" ht="17" thickBot="1" x14ac:dyDescent="0.25">
      <c r="G38" s="66" t="s">
        <v>43</v>
      </c>
      <c r="H38" s="67">
        <v>0.42</v>
      </c>
      <c r="I38" s="68">
        <f>I37</f>
        <v>126600</v>
      </c>
      <c r="J38" s="69"/>
      <c r="K38" s="70">
        <f>K37</f>
        <v>63300</v>
      </c>
      <c r="L38" s="71">
        <f>(S31-K38)*H38</f>
        <v>183359.01360000003</v>
      </c>
      <c r="M38" s="72"/>
      <c r="O38" s="73"/>
      <c r="S38" s="1" t="s">
        <v>0</v>
      </c>
    </row>
    <row r="39" spans="5:22" ht="14" thickBot="1" x14ac:dyDescent="0.2">
      <c r="O39" s="18"/>
    </row>
    <row r="40" spans="5:22" x14ac:dyDescent="0.15">
      <c r="G40" s="50" t="s">
        <v>44</v>
      </c>
      <c r="H40" s="74"/>
    </row>
    <row r="41" spans="5:22" x14ac:dyDescent="0.15">
      <c r="G41" s="57" t="s">
        <v>13</v>
      </c>
      <c r="H41" s="75">
        <f>P27</f>
        <v>1868892.08</v>
      </c>
      <c r="N41" s="18"/>
    </row>
    <row r="42" spans="5:22" x14ac:dyDescent="0.15">
      <c r="G42" s="76" t="s">
        <v>45</v>
      </c>
      <c r="H42" s="75">
        <f>T29</f>
        <v>904.19178082191775</v>
      </c>
    </row>
    <row r="43" spans="5:22" x14ac:dyDescent="0.15">
      <c r="G43" s="76" t="s">
        <v>46</v>
      </c>
      <c r="H43" s="75">
        <f>V32</f>
        <v>200861.52455890414</v>
      </c>
    </row>
    <row r="44" spans="5:22" ht="19" thickBot="1" x14ac:dyDescent="0.25">
      <c r="G44" s="77" t="s">
        <v>47</v>
      </c>
      <c r="H44" s="78">
        <f>H41+H42-H43</f>
        <v>1668934.7472219178</v>
      </c>
    </row>
    <row r="45" spans="5:22" ht="14" thickBot="1" x14ac:dyDescent="0.2"/>
    <row r="46" spans="5:22" ht="13" customHeight="1" x14ac:dyDescent="0.15">
      <c r="G46" s="50" t="s">
        <v>48</v>
      </c>
      <c r="H46" s="79"/>
      <c r="I46" s="79"/>
      <c r="J46" s="79"/>
      <c r="K46" s="96" t="s">
        <v>49</v>
      </c>
      <c r="L46" s="97"/>
      <c r="M46" s="98"/>
    </row>
    <row r="47" spans="5:22" ht="13" customHeight="1" x14ac:dyDescent="0.15">
      <c r="G47" s="12" t="s">
        <v>63</v>
      </c>
      <c r="K47" s="99"/>
      <c r="L47" s="100"/>
      <c r="M47" s="101"/>
      <c r="S47" s="1" t="s">
        <v>0</v>
      </c>
    </row>
    <row r="48" spans="5:22" ht="12" customHeight="1" x14ac:dyDescent="0.15">
      <c r="G48" s="81" t="s">
        <v>50</v>
      </c>
      <c r="H48" s="19">
        <v>1.175</v>
      </c>
      <c r="I48" s="1" t="s">
        <v>51</v>
      </c>
      <c r="K48" s="99"/>
      <c r="L48" s="100"/>
      <c r="M48" s="101"/>
    </row>
    <row r="49" spans="3:13" ht="11.25" hidden="1" customHeight="1" x14ac:dyDescent="0.15">
      <c r="G49" s="57"/>
      <c r="K49" s="99"/>
      <c r="L49" s="100"/>
      <c r="M49" s="101"/>
    </row>
    <row r="50" spans="3:13" ht="13" hidden="1" customHeight="1" x14ac:dyDescent="0.15">
      <c r="G50" s="57"/>
      <c r="K50" s="99"/>
      <c r="L50" s="100"/>
      <c r="M50" s="101"/>
    </row>
    <row r="51" spans="3:13" ht="13" hidden="1" customHeight="1" x14ac:dyDescent="0.15">
      <c r="G51" s="57"/>
      <c r="K51" s="99"/>
      <c r="L51" s="100"/>
      <c r="M51" s="101"/>
    </row>
    <row r="52" spans="3:13" ht="13" customHeight="1" thickBot="1" x14ac:dyDescent="0.2">
      <c r="C52" s="31" t="e">
        <f>#REF!</f>
        <v>#REF!</v>
      </c>
      <c r="G52" s="57" t="s">
        <v>52</v>
      </c>
      <c r="H52" s="82">
        <v>45735</v>
      </c>
      <c r="I52" s="4" t="s">
        <v>53</v>
      </c>
      <c r="K52" s="102"/>
      <c r="L52" s="103"/>
      <c r="M52" s="104"/>
    </row>
    <row r="53" spans="3:13" x14ac:dyDescent="0.15">
      <c r="C53" s="31">
        <v>39767</v>
      </c>
      <c r="G53" s="57" t="s">
        <v>54</v>
      </c>
      <c r="H53" s="83">
        <v>45611</v>
      </c>
      <c r="I53" s="4" t="s">
        <v>55</v>
      </c>
      <c r="J53" s="84"/>
    </row>
    <row r="54" spans="3:13" ht="16" x14ac:dyDescent="0.2">
      <c r="C54" s="16" t="e">
        <f>C52-C53</f>
        <v>#REF!</v>
      </c>
      <c r="G54" s="57" t="s">
        <v>56</v>
      </c>
      <c r="H54" s="1">
        <f>H52-H53</f>
        <v>124</v>
      </c>
      <c r="J54" s="84"/>
    </row>
    <row r="55" spans="3:13" x14ac:dyDescent="0.15">
      <c r="G55" s="57"/>
      <c r="I55" s="1" t="s">
        <v>57</v>
      </c>
      <c r="J55" s="84" t="s">
        <v>58</v>
      </c>
    </row>
    <row r="56" spans="3:13" ht="16" x14ac:dyDescent="0.2">
      <c r="C56" s="1" t="e">
        <f>(4*C54)/(365*1)</f>
        <v>#REF!</v>
      </c>
      <c r="G56" s="57" t="s">
        <v>29</v>
      </c>
      <c r="H56" s="1">
        <f>H48*H54/365</f>
        <v>0.39917808219178086</v>
      </c>
      <c r="I56" s="1">
        <f>J8</f>
        <v>200</v>
      </c>
      <c r="J56" s="85">
        <f>I56*H56</f>
        <v>79.835616438356169</v>
      </c>
    </row>
    <row r="57" spans="3:13" x14ac:dyDescent="0.15">
      <c r="G57" s="57"/>
      <c r="J57" s="84"/>
    </row>
    <row r="58" spans="3:13" x14ac:dyDescent="0.15">
      <c r="G58" s="57"/>
      <c r="J58" s="84"/>
    </row>
    <row r="59" spans="3:13" x14ac:dyDescent="0.15">
      <c r="G59" s="12" t="s">
        <v>65</v>
      </c>
      <c r="J59" s="84"/>
    </row>
    <row r="60" spans="3:13" x14ac:dyDescent="0.15">
      <c r="G60" s="81" t="s">
        <v>50</v>
      </c>
      <c r="H60" s="19">
        <v>1.5</v>
      </c>
      <c r="J60" s="84"/>
    </row>
    <row r="61" spans="3:13" x14ac:dyDescent="0.15">
      <c r="G61" s="57" t="s">
        <v>60</v>
      </c>
      <c r="H61" s="82">
        <v>45735</v>
      </c>
      <c r="J61" s="84"/>
    </row>
    <row r="62" spans="3:13" x14ac:dyDescent="0.15">
      <c r="G62" s="57" t="s">
        <v>61</v>
      </c>
      <c r="H62" s="83">
        <v>45658</v>
      </c>
      <c r="J62" s="84"/>
    </row>
    <row r="63" spans="3:13" x14ac:dyDescent="0.15">
      <c r="G63" s="57" t="s">
        <v>56</v>
      </c>
      <c r="H63" s="1">
        <f>H61-H62</f>
        <v>77</v>
      </c>
      <c r="J63" s="84"/>
    </row>
    <row r="64" spans="3:13" x14ac:dyDescent="0.15">
      <c r="G64" s="57"/>
      <c r="J64" s="84"/>
    </row>
    <row r="65" spans="7:10" ht="16" x14ac:dyDescent="0.2">
      <c r="G65" s="57" t="s">
        <v>29</v>
      </c>
      <c r="H65" s="1">
        <f>H60*H63/365</f>
        <v>0.31643835616438354</v>
      </c>
      <c r="I65" s="1">
        <f>J9</f>
        <v>300</v>
      </c>
      <c r="J65" s="85">
        <f>I65*H65</f>
        <v>94.931506849315056</v>
      </c>
    </row>
    <row r="66" spans="7:10" ht="16" x14ac:dyDescent="0.2">
      <c r="G66" s="57"/>
      <c r="J66" s="85"/>
    </row>
    <row r="67" spans="7:10" ht="16" x14ac:dyDescent="0.2">
      <c r="G67" s="57"/>
      <c r="J67" s="85"/>
    </row>
    <row r="68" spans="7:10" ht="16" x14ac:dyDescent="0.2">
      <c r="G68" s="12" t="s">
        <v>66</v>
      </c>
      <c r="J68" s="85"/>
    </row>
    <row r="69" spans="7:10" ht="16" x14ac:dyDescent="0.2">
      <c r="G69" s="81" t="s">
        <v>50</v>
      </c>
      <c r="H69" s="19">
        <v>4.16</v>
      </c>
      <c r="J69" s="85"/>
    </row>
    <row r="70" spans="7:10" ht="16" x14ac:dyDescent="0.2">
      <c r="G70" s="57" t="s">
        <v>60</v>
      </c>
      <c r="H70" s="82">
        <v>45735</v>
      </c>
      <c r="J70" s="85"/>
    </row>
    <row r="71" spans="7:10" ht="16" x14ac:dyDescent="0.2">
      <c r="G71" s="57" t="s">
        <v>61</v>
      </c>
      <c r="H71" s="83">
        <v>45671</v>
      </c>
      <c r="J71" s="85"/>
    </row>
    <row r="72" spans="7:10" ht="16" x14ac:dyDescent="0.2">
      <c r="G72" s="57" t="s">
        <v>56</v>
      </c>
      <c r="H72" s="1">
        <f>H70-H71</f>
        <v>64</v>
      </c>
      <c r="J72" s="85"/>
    </row>
    <row r="73" spans="7:10" ht="16" x14ac:dyDescent="0.2">
      <c r="G73" s="57"/>
      <c r="J73" s="85"/>
    </row>
    <row r="74" spans="7:10" ht="16" x14ac:dyDescent="0.2">
      <c r="G74" s="57" t="s">
        <v>29</v>
      </c>
      <c r="H74" s="1">
        <f>H69*H72/365</f>
        <v>0.72942465753424657</v>
      </c>
      <c r="I74" s="1">
        <f>J10</f>
        <v>1000</v>
      </c>
      <c r="J74" s="85">
        <f>I74*H74</f>
        <v>729.42465753424653</v>
      </c>
    </row>
    <row r="75" spans="7:10" ht="16" x14ac:dyDescent="0.2">
      <c r="G75" s="57"/>
      <c r="J75" s="85"/>
    </row>
    <row r="76" spans="7:10" x14ac:dyDescent="0.15">
      <c r="G76" s="57"/>
      <c r="J76" s="84"/>
    </row>
    <row r="77" spans="7:10" x14ac:dyDescent="0.15">
      <c r="G77" s="80" t="s">
        <v>59</v>
      </c>
      <c r="J77" s="84"/>
    </row>
    <row r="78" spans="7:10" x14ac:dyDescent="0.15">
      <c r="G78" s="81" t="s">
        <v>50</v>
      </c>
      <c r="H78" s="19"/>
      <c r="J78" s="84"/>
    </row>
    <row r="79" spans="7:10" x14ac:dyDescent="0.15">
      <c r="G79" s="57" t="s">
        <v>60</v>
      </c>
      <c r="H79" s="82"/>
      <c r="J79" s="84"/>
    </row>
    <row r="80" spans="7:10" x14ac:dyDescent="0.15">
      <c r="G80" s="57" t="s">
        <v>61</v>
      </c>
      <c r="H80" s="83"/>
      <c r="J80" s="84"/>
    </row>
    <row r="81" spans="7:17" x14ac:dyDescent="0.15">
      <c r="G81" s="57" t="s">
        <v>56</v>
      </c>
      <c r="H81" s="1">
        <f>H79-H80</f>
        <v>0</v>
      </c>
      <c r="J81" s="84"/>
    </row>
    <row r="82" spans="7:17" x14ac:dyDescent="0.15">
      <c r="G82" s="57"/>
      <c r="J82" s="84"/>
    </row>
    <row r="83" spans="7:17" x14ac:dyDescent="0.15">
      <c r="G83" s="57" t="s">
        <v>29</v>
      </c>
      <c r="H83" s="1">
        <f>H78*H81/365</f>
        <v>0</v>
      </c>
      <c r="I83" s="18">
        <f>J11</f>
        <v>200</v>
      </c>
      <c r="J83" s="75">
        <f>I83*H83</f>
        <v>0</v>
      </c>
    </row>
    <row r="84" spans="7:17" x14ac:dyDescent="0.15">
      <c r="G84" s="57"/>
      <c r="J84" s="84"/>
    </row>
    <row r="85" spans="7:17" ht="14" thickBot="1" x14ac:dyDescent="0.2">
      <c r="G85" s="86" t="s">
        <v>62</v>
      </c>
      <c r="H85" s="87"/>
      <c r="I85" s="87"/>
      <c r="J85" s="88">
        <f>J74+J65+J56+J83</f>
        <v>904.19178082191775</v>
      </c>
    </row>
    <row r="89" spans="7:17" ht="23" x14ac:dyDescent="0.25">
      <c r="G89" s="89"/>
    </row>
    <row r="91" spans="7:17" x14ac:dyDescent="0.15">
      <c r="O91" s="18"/>
      <c r="Q91" s="18"/>
    </row>
    <row r="98" spans="7:7" ht="23" x14ac:dyDescent="0.25">
      <c r="G98" s="89"/>
    </row>
    <row r="99" spans="7:7" ht="15" customHeight="1" x14ac:dyDescent="0.15"/>
    <row r="100" spans="7:7" ht="10.5" customHeight="1" x14ac:dyDescent="0.25">
      <c r="G100" s="89"/>
    </row>
    <row r="108" spans="7:7" ht="16" x14ac:dyDescent="0.2">
      <c r="G108" s="17" t="s">
        <v>0</v>
      </c>
    </row>
    <row r="109" spans="7:7" x14ac:dyDescent="0.15">
      <c r="G109" s="90" t="s">
        <v>26</v>
      </c>
    </row>
    <row r="110" spans="7:7" x14ac:dyDescent="0.15">
      <c r="G110" s="90" t="s">
        <v>0</v>
      </c>
    </row>
  </sheetData>
  <mergeCells count="1">
    <mergeCell ref="K46:M52"/>
  </mergeCells>
  <hyperlinks>
    <hyperlink ref="H4" r:id="rId1" xr:uid="{E53ABF37-341E-BB45-92D9-9FE4530D2430}"/>
  </hyperlinks>
  <pageMargins left="0.74803149606299213" right="0.74803149606299213" top="0.98425196850393704" bottom="0.98425196850393704" header="0" footer="0"/>
  <pageSetup paperSize="9" scale="60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E011A-006D-453C-9737-B222F1E611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3c11eb6-de36-4131-bab2-6a22847efc48"/>
    <ds:schemaRef ds:uri="c7e2ecf6-e361-4159-9367-86aa4c26842f"/>
  </ds:schemaRefs>
</ds:datastoreItem>
</file>

<file path=customXml/itemProps2.xml><?xml version="1.0" encoding="utf-8"?>
<ds:datastoreItem xmlns:ds="http://schemas.openxmlformats.org/officeDocument/2006/customXml" ds:itemID="{42D0C8B6-A686-48BA-9E39-406B54811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EBE9DA-B3C8-4521-AD09-FA11D4965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2024-04-26T08:41:49Z</dcterms:created>
  <dcterms:modified xsi:type="dcterms:W3CDTF">2025-03-19T23:02:57Z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